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300" tabRatio="500" firstSheet="0" activeTab="0" autoFilterDateGrouping="1"/>
  </bookViews>
  <sheets>
    <sheet name="Summary" sheetId="1" state="visible" r:id="rId1"/>
    <sheet name="V1 - Encoding and Sanitization" sheetId="2" state="visible" r:id="rId2"/>
    <sheet name="V2 - Validation and Business Lo" sheetId="3" state="visible" r:id="rId3"/>
    <sheet name="V3 - Web Frontend Security" sheetId="4" state="visible" r:id="rId4"/>
    <sheet name="V4 - API and Web Service" sheetId="5" state="visible" r:id="rId5"/>
    <sheet name="V5 - File Handling" sheetId="6" state="visible" r:id="rId6"/>
    <sheet name="V6 - Authentication" sheetId="7" state="visible" r:id="rId7"/>
    <sheet name="V7 - Session Management" sheetId="8" state="visible" r:id="rId8"/>
    <sheet name="V8 - Authorization" sheetId="9" state="visible" r:id="rId9"/>
    <sheet name="V9 - Self-contained Tokens" sheetId="10" state="visible" r:id="rId10"/>
    <sheet name="V10 - OAuth and OIDC" sheetId="11" state="visible" r:id="rId11"/>
    <sheet name="V11 - Cryptography" sheetId="12" state="visible" r:id="rId12"/>
    <sheet name="V12 - Secure Communication" sheetId="13" state="visible" r:id="rId13"/>
    <sheet name="V13 - Configuration" sheetId="14" state="visible" r:id="rId14"/>
    <sheet name="V14 - Data Protection" sheetId="15" state="visible" r:id="rId15"/>
    <sheet name="V15 - Secure Coding and Archite" sheetId="16" state="visible" r:id="rId16"/>
    <sheet name="V16 - Security Logging and Erro" sheetId="17" state="visible" r:id="rId17"/>
    <sheet name="V17 - WebRTC" sheetId="18" state="visible" r:id="rId18"/>
    <sheet name="ZAP-ASVS Traceability" sheetId="19" state="visible" r:id="rId19"/>
  </sheets>
  <definedNames/>
  <calcPr calcId="191029" fullCalcOnLoad="1" iterateDelta="0.0001"/>
</workbook>
</file>

<file path=xl/styles.xml><?xml version="1.0" encoding="utf-8"?>
<styleSheet xmlns="http://schemas.openxmlformats.org/spreadsheetml/2006/main">
  <numFmts count="0"/>
  <fonts count="13">
    <font>
      <name val="Calibri"/>
      <charset val="1"/>
      <family val="2"/>
      <color rgb="FF000000"/>
      <sz val="11"/>
    </font>
    <font>
      <name val="Cambria"/>
      <charset val="1"/>
      <b val="1"/>
      <color rgb="FF4472C4"/>
      <sz val="16"/>
    </font>
    <font>
      <name val="Cambria"/>
      <charset val="1"/>
      <sz val="11"/>
    </font>
    <font>
      <name val="Cambria"/>
      <charset val="1"/>
      <b val="1"/>
      <color rgb="FFFFFFFF"/>
      <sz val="16"/>
    </font>
    <font>
      <name val="Cambria"/>
      <charset val="1"/>
      <i val="1"/>
      <color rgb="FF595959"/>
      <sz val="10"/>
    </font>
    <font>
      <name val="Cambria"/>
      <charset val="1"/>
      <b val="1"/>
      <sz val="10"/>
    </font>
    <font>
      <name val="Cambria"/>
      <charset val="1"/>
      <b val="1"/>
      <sz val="9"/>
    </font>
    <font>
      <name val="Cambria"/>
      <charset val="1"/>
      <b val="1"/>
      <color rgb="FFFFFFFF"/>
      <sz val="9"/>
    </font>
    <font>
      <name val="Cambria"/>
      <charset val="1"/>
      <sz val="10"/>
    </font>
    <font>
      <name val="Cambria"/>
      <charset val="1"/>
      <b val="1"/>
      <color rgb="FFFFFFFF"/>
      <sz val="11"/>
    </font>
    <font>
      <name val="Cambria"/>
      <charset val="1"/>
      <b val="1"/>
      <color rgb="FFFFFFFF"/>
      <sz val="10"/>
    </font>
    <font>
      <name val="Cambria"/>
      <charset val="1"/>
      <b val="1"/>
      <color rgb="FF1F3864"/>
      <sz val="10"/>
    </font>
    <font>
      <name val="Cambria"/>
      <charset val="1"/>
      <b val="1"/>
      <sz val="14"/>
    </font>
  </fonts>
  <fills count="11">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4472C4"/>
        <bgColor rgb="FF0066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pivotButton="0" quotePrefix="0" xfId="0"/>
    <xf numFmtId="0" fontId="3" fillId="2" borderId="0" applyAlignment="1" pivotButton="0" quotePrefix="0" xfId="0">
      <alignment horizontal="center" vertical="center"/>
    </xf>
    <xf numFmtId="0" fontId="4" fillId="0" borderId="0" applyAlignment="1" pivotButton="0" quotePrefix="0" xfId="0">
      <alignment horizontal="center" vertical="center"/>
    </xf>
    <xf numFmtId="0" fontId="5" fillId="0" borderId="0" pivotButton="0" quotePrefix="0" xfId="0"/>
    <xf numFmtId="0" fontId="6" fillId="0" borderId="0" applyAlignment="1" pivotButton="0" quotePrefix="0" xfId="0">
      <alignment horizontal="center" vertical="center"/>
    </xf>
    <xf numFmtId="0" fontId="7" fillId="2" borderId="1" applyAlignment="1" pivotButton="0" quotePrefix="0" xfId="0">
      <alignment horizontal="center" vertical="center" wrapText="1"/>
    </xf>
    <xf numFmtId="0" fontId="8" fillId="3" borderId="1" applyAlignment="1" pivotButton="0" quotePrefix="0" xfId="0">
      <alignment horizontal="left" vertical="center"/>
    </xf>
    <xf numFmtId="0" fontId="8" fillId="3" borderId="1" applyAlignment="1" pivotButton="0" quotePrefix="0" xfId="0">
      <alignment horizontal="center" vertical="center"/>
    </xf>
    <xf numFmtId="9" fontId="8" fillId="3" borderId="1" applyAlignment="1" pivotButton="0" quotePrefix="0" xfId="0">
      <alignment horizontal="center"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9" fontId="8" fillId="4" borderId="1" applyAlignment="1" pivotButton="0" quotePrefix="0" xfId="0">
      <alignment horizontal="center" vertical="center"/>
    </xf>
    <xf numFmtId="0" fontId="9" fillId="2" borderId="1" pivotButton="0" quotePrefix="0" xfId="0"/>
    <xf numFmtId="0" fontId="10" fillId="2" borderId="1" applyAlignment="1" pivotButton="0" quotePrefix="0" xfId="0">
      <alignment horizontal="center" vertical="center"/>
    </xf>
    <xf numFmtId="9" fontId="10" fillId="2" borderId="1" applyAlignment="1" pivotButton="0" quotePrefix="0" xfId="0">
      <alignment horizontal="center" vertical="center"/>
    </xf>
    <xf numFmtId="0" fontId="10" fillId="2" borderId="1" applyAlignment="1" pivotButton="0" quotePrefix="0" xfId="0">
      <alignment horizontal="center" vertical="center" wrapText="1"/>
    </xf>
    <xf numFmtId="0" fontId="11"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5"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9" fillId="10" borderId="2" applyAlignment="1" pivotButton="0" quotePrefix="0" xfId="0">
      <alignment horizontal="center" vertical="center" wrapText="1"/>
    </xf>
    <xf numFmtId="0" fontId="0" fillId="0" borderId="2" pivotButton="0" quotePrefix="0" xfId="0"/>
    <xf numFmtId="0" fontId="0" fillId="0" borderId="2" applyAlignment="1" pivotButton="0" quotePrefix="0" xfId="0">
      <alignment vertical="top" wrapText="1"/>
    </xf>
    <xf numFmtId="0" fontId="1" fillId="0" borderId="0" pivotButton="0" quotePrefix="0" xfId="0"/>
    <xf numFmtId="0" fontId="0" fillId="0" borderId="0" pivotButton="0" quotePrefix="0" xfId="0"/>
    <xf numFmtId="0" fontId="2"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4472C4"/>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plotArea>
      <layout/>
      <barChart>
        <barDir val="bar"/>
        <grouping val="clustered"/>
        <varyColors val="0"/>
        <ser>
          <idx val="0"/>
          <order val="0"/>
          <tx>
            <strRef>
              <f>Summary!$E$5</f>
              <strCache>
                <ptCount val="1"/>
              </strCache>
            </strRef>
          </tx>
          <spPr>
            <a:solidFill>
              <a:srgbClr val="C6EFCE"/>
            </a:solidFill>
            <a:ln w="0">
              <a:noFill/>
              <a:prstDash val="solid"/>
            </a:ln>
          </spPr>
          <invertIfNegative val="0"/>
          <dLbls>
            <spPr>
              <a:noFill/>
              <a:ln>
                <a:noFill/>
                <a:prstDash val="solid"/>
              </a:ln>
            </spPr>
            <txPr>
              <a:bodyPr wrap="square"/>
              <a:lstStyle/>
              <a:p>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strRef>
              <f>Summary!$A$6:$A$22</f>
              <strCache>
                <ptCount val="17"/>
                <pt idx="2">
                  <v>Chapter</v>
                </pt>
                <pt idx="3">
                  <v>V1 – Encoding and Sanitization</v>
                </pt>
                <pt idx="4">
                  <v>V2 – Validation and Business Logic</v>
                </pt>
                <pt idx="5">
                  <v>V3 – Web Frontend Security</v>
                </pt>
                <pt idx="6">
                  <v>V4 – API and Web Service</v>
                </pt>
                <pt idx="7">
                  <v>V5 – File Handling</v>
                </pt>
                <pt idx="8">
                  <v>V6 – Authentication</v>
                </pt>
                <pt idx="9">
                  <v>V7 – Session Management</v>
                </pt>
                <pt idx="10">
                  <v>V8 – Authorization</v>
                </pt>
                <pt idx="11">
                  <v>V9 – Self-contained Tokens</v>
                </pt>
                <pt idx="12">
                  <v>V10 – OAuth and OIDC</v>
                </pt>
                <pt idx="13">
                  <v>V11 – Cryptography</v>
                </pt>
                <pt idx="14">
                  <v>V12 – Secure Communication</v>
                </pt>
                <pt idx="15">
                  <v>V13 – Configuration</v>
                </pt>
                <pt idx="16">
                  <v>V14 – Data Protection</v>
                </pt>
              </strCache>
            </strRef>
          </cat>
          <val>
            <numRef>
              <f>Summary!$E$6:$E$22</f>
              <numCache>
                <formatCode>General</formatCode>
                <ptCount val="17"/>
                <pt idx="2">
                  <v>0</v>
                </pt>
                <pt idx="3">
                  <formatCode>0%</formatCode>
                  <v>0</v>
                </pt>
                <pt idx="4">
                  <formatCode>0%</formatCode>
                  <v>0</v>
                </pt>
                <pt idx="5">
                  <formatCode>0%</formatCode>
                  <v>0</v>
                </pt>
                <pt idx="6">
                  <formatCode>0%</formatCode>
                  <v>0.125</v>
                </pt>
                <pt idx="7">
                  <formatCode>0%</formatCode>
                  <v>0</v>
                </pt>
                <pt idx="8">
                  <formatCode>0%</formatCode>
                  <v>0</v>
                </pt>
                <pt idx="9">
                  <formatCode>0%</formatCode>
                  <v>0.5</v>
                </pt>
                <pt idx="10">
                  <formatCode>0%</formatCode>
                  <v>0</v>
                </pt>
                <pt idx="11">
                  <formatCode>0%</formatCode>
                  <v>0.3076923076923077</v>
                </pt>
                <pt idx="12">
                  <formatCode>0%</formatCode>
                  <v>0.3333333333333333</v>
                </pt>
                <pt idx="13">
                  <formatCode>0%</formatCode>
                  <v>0</v>
                </pt>
                <pt idx="14">
                  <formatCode>0%</formatCode>
                  <v>0.75</v>
                </pt>
                <pt idx="15">
                  <formatCode>0%</formatCode>
                  <v>0</v>
                </pt>
                <pt idx="16">
                  <formatCode>0%</formatCode>
                  <v>0.6666666666666666</v>
                </pt>
              </numCache>
            </numRef>
          </val>
        </ser>
        <ser>
          <idx val="1"/>
          <order val="1"/>
          <tx>
            <strRef>
              <f>Summary!$H$5</f>
              <strCache>
                <ptCount val="1"/>
              </strCache>
            </strRef>
          </tx>
          <spPr>
            <a:solidFill>
              <a:srgbClr val="FFEB9C"/>
            </a:solidFill>
            <a:ln w="0">
              <a:noFill/>
              <a:prstDash val="solid"/>
            </a:ln>
          </spPr>
          <invertIfNegative val="0"/>
          <dLbls>
            <spPr>
              <a:noFill/>
              <a:ln>
                <a:noFill/>
                <a:prstDash val="solid"/>
              </a:ln>
            </spPr>
            <txPr>
              <a:bodyPr wrap="square"/>
              <a:lstStyle/>
              <a:p>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strRef>
              <f>Summary!$A$6:$A$22</f>
              <strCache>
                <ptCount val="17"/>
                <pt idx="2">
                  <v>Chapter</v>
                </pt>
                <pt idx="3">
                  <v>V1 – Encoding and Sanitization</v>
                </pt>
                <pt idx="4">
                  <v>V2 – Validation and Business Logic</v>
                </pt>
                <pt idx="5">
                  <v>V3 – Web Frontend Security</v>
                </pt>
                <pt idx="6">
                  <v>V4 – API and Web Service</v>
                </pt>
                <pt idx="7">
                  <v>V5 – File Handling</v>
                </pt>
                <pt idx="8">
                  <v>V6 – Authentication</v>
                </pt>
                <pt idx="9">
                  <v>V7 – Session Management</v>
                </pt>
                <pt idx="10">
                  <v>V8 – Authorization</v>
                </pt>
                <pt idx="11">
                  <v>V9 – Self-contained Tokens</v>
                </pt>
                <pt idx="12">
                  <v>V10 – OAuth and OIDC</v>
                </pt>
                <pt idx="13">
                  <v>V11 – Cryptography</v>
                </pt>
                <pt idx="14">
                  <v>V12 – Secure Communication</v>
                </pt>
                <pt idx="15">
                  <v>V13 – Configuration</v>
                </pt>
                <pt idx="16">
                  <v>V14 – Data Protection</v>
                </pt>
              </strCache>
            </strRef>
          </cat>
          <val>
            <numRef>
              <f>Summary!$H$6:$H$22</f>
              <numCache>
                <formatCode>General</formatCode>
                <ptCount val="17"/>
                <pt idx="2">
                  <v>0</v>
                </pt>
                <pt idx="3">
                  <formatCode>0%</formatCode>
                  <v>0</v>
                </pt>
                <pt idx="4">
                  <formatCode>0%</formatCode>
                  <v>0</v>
                </pt>
                <pt idx="5">
                  <formatCode>0%</formatCode>
                  <v>0</v>
                </pt>
                <pt idx="6">
                  <formatCode>0%</formatCode>
                  <v>0</v>
                </pt>
                <pt idx="7">
                  <formatCode>0%</formatCode>
                  <v>0</v>
                </pt>
                <pt idx="8">
                  <formatCode>0%</formatCode>
                  <v>0</v>
                </pt>
                <pt idx="9">
                  <formatCode>0%</formatCode>
                  <v>0</v>
                </pt>
                <pt idx="10">
                  <formatCode>0%</formatCode>
                  <v>0</v>
                </pt>
                <pt idx="11">
                  <formatCode>0%</formatCode>
                  <v>0.04545454545454546</v>
                </pt>
                <pt idx="12">
                  <formatCode>0%</formatCode>
                  <v>0</v>
                </pt>
                <pt idx="13">
                  <formatCode>0%</formatCode>
                  <v>0</v>
                </pt>
                <pt idx="14">
                  <formatCode>0%</formatCode>
                  <v>0.6666666666666666</v>
                </pt>
                <pt idx="15">
                  <formatCode>0%</formatCode>
                  <v>0</v>
                </pt>
                <pt idx="16">
                  <formatCode>0%</formatCode>
                  <v>0.2727272727272727</v>
                </pt>
              </numCache>
            </numRef>
          </val>
        </ser>
        <ser>
          <idx val="2"/>
          <order val="2"/>
          <tx>
            <strRef>
              <f>Summary!$K$5</f>
              <strCache>
                <ptCount val="1"/>
              </strCache>
            </strRef>
          </tx>
          <spPr>
            <a:solidFill>
              <a:srgbClr val="FABF8F"/>
            </a:solidFill>
            <a:ln w="0">
              <a:noFill/>
              <a:prstDash val="solid"/>
            </a:ln>
          </spPr>
          <invertIfNegative val="0"/>
          <dLbls>
            <spPr>
              <a:noFill/>
              <a:ln>
                <a:noFill/>
                <a:prstDash val="solid"/>
              </a:ln>
            </spPr>
            <txPr>
              <a:bodyPr wrap="square"/>
              <a:lstStyle/>
              <a:p>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strRef>
              <f>Summary!$A$6:$A$22</f>
              <strCache>
                <ptCount val="17"/>
                <pt idx="2">
                  <v>Chapter</v>
                </pt>
                <pt idx="3">
                  <v>V1 – Encoding and Sanitization</v>
                </pt>
                <pt idx="4">
                  <v>V2 – Validation and Business Logic</v>
                </pt>
                <pt idx="5">
                  <v>V3 – Web Frontend Security</v>
                </pt>
                <pt idx="6">
                  <v>V4 – API and Web Service</v>
                </pt>
                <pt idx="7">
                  <v>V5 – File Handling</v>
                </pt>
                <pt idx="8">
                  <v>V6 – Authentication</v>
                </pt>
                <pt idx="9">
                  <v>V7 – Session Management</v>
                </pt>
                <pt idx="10">
                  <v>V8 – Authorization</v>
                </pt>
                <pt idx="11">
                  <v>V9 – Self-contained Tokens</v>
                </pt>
                <pt idx="12">
                  <v>V10 – OAuth and OIDC</v>
                </pt>
                <pt idx="13">
                  <v>V11 – Cryptography</v>
                </pt>
                <pt idx="14">
                  <v>V12 – Secure Communication</v>
                </pt>
                <pt idx="15">
                  <v>V13 – Configuration</v>
                </pt>
                <pt idx="16">
                  <v>V14 – Data Protection</v>
                </pt>
              </strCache>
            </strRef>
          </cat>
          <val>
            <numRef>
              <f>Summary!$K$6:$K$21</f>
              <numCache>
                <formatCode>General</formatCode>
                <ptCount val="16"/>
                <pt idx="2">
                  <v>0</v>
                </pt>
                <pt idx="3">
                  <formatCode>0%</formatCode>
                  <v>0</v>
                </pt>
                <pt idx="4">
                  <formatCode>0%</formatCode>
                  <v>0</v>
                </pt>
                <pt idx="5">
                  <formatCode>0%</formatCode>
                  <v>0</v>
                </pt>
                <pt idx="6">
                  <formatCode>0%</formatCode>
                  <v>0</v>
                </pt>
                <pt idx="7">
                  <formatCode>0%</formatCode>
                  <v>0</v>
                </pt>
                <pt idx="8">
                  <formatCode>0%</formatCode>
                  <v>0</v>
                </pt>
                <pt idx="9">
                  <formatCode>0%</formatCode>
                  <v>0</v>
                </pt>
                <pt idx="10">
                  <formatCode>0%</formatCode>
                  <v>0</v>
                </pt>
                <pt idx="11">
                  <v>0</v>
                </pt>
                <pt idx="12">
                  <formatCode>0%</formatCode>
                  <v>0</v>
                </pt>
                <pt idx="13">
                  <formatCode>0%</formatCode>
                  <v>0</v>
                </pt>
                <pt idx="14">
                  <formatCode>0%</formatCode>
                  <v>0</v>
                </pt>
                <pt idx="15">
                  <formatCode>0%</formatCode>
                  <v>0</v>
                </pt>
              </numCache>
            </numRef>
          </val>
        </ser>
        <ser>
          <idx val="3"/>
          <order val="3"/>
          <tx>
            <strRef>
              <f>Summary!$M$5</f>
              <strCache>
                <ptCount val="1"/>
              </strCache>
            </strRef>
          </tx>
          <spPr>
            <a:solidFill>
              <a:srgbClr val="579D1C"/>
            </a:solidFill>
            <a:ln w="0">
              <a:noFill/>
              <a:prstDash val="solid"/>
            </a:ln>
          </spPr>
          <invertIfNegative val="0"/>
          <dLbls>
            <spPr>
              <a:noFill/>
              <a:ln>
                <a:noFill/>
                <a:prstDash val="solid"/>
              </a:ln>
            </spPr>
            <txPr>
              <a:bodyPr wrap="square"/>
              <a:lstStyle/>
              <a:p>
                <a:pPr>
                  <a:defRPr sz="1000" b="0" strike="noStrike" spc="-1">
                    <a:solidFill>
                      <a:srgbClr val="000000"/>
                    </a:solidFill>
                    <a:latin typeface="Arial"/>
                  </a:defRPr>
                </a:pPr>
                <a:r>
                  <a:t>None</a:t>
                </a:r>
                <a:endParaRPr lang="en-US"/>
              </a:p>
            </txPr>
            <dLblPos val="outEnd"/>
            <showLegendKey val="0"/>
            <showVal val="0"/>
            <showCatName val="0"/>
            <showSerName val="0"/>
            <showPercent val="0"/>
            <showBubbleSize val="1"/>
            <showLeaderLines val="0"/>
          </dLbls>
          <cat>
            <strRef>
              <f>Summary!$A$6:$A$22</f>
              <strCache>
                <ptCount val="17"/>
                <pt idx="2">
                  <v>Chapter</v>
                </pt>
                <pt idx="3">
                  <v>V1 – Encoding and Sanitization</v>
                </pt>
                <pt idx="4">
                  <v>V2 – Validation and Business Logic</v>
                </pt>
                <pt idx="5">
                  <v>V3 – Web Frontend Security</v>
                </pt>
                <pt idx="6">
                  <v>V4 – API and Web Service</v>
                </pt>
                <pt idx="7">
                  <v>V5 – File Handling</v>
                </pt>
                <pt idx="8">
                  <v>V6 – Authentication</v>
                </pt>
                <pt idx="9">
                  <v>V7 – Session Management</v>
                </pt>
                <pt idx="10">
                  <v>V8 – Authorization</v>
                </pt>
                <pt idx="11">
                  <v>V9 – Self-contained Tokens</v>
                </pt>
                <pt idx="12">
                  <v>V10 – OAuth and OIDC</v>
                </pt>
                <pt idx="13">
                  <v>V11 – Cryptography</v>
                </pt>
                <pt idx="14">
                  <v>V12 – Secure Communication</v>
                </pt>
                <pt idx="15">
                  <v>V13 – Configuration</v>
                </pt>
                <pt idx="16">
                  <v>V14 – Data Protection</v>
                </pt>
              </strCache>
            </strRef>
          </cat>
          <val>
            <numRef>
              <f>Summary!$M$6:$M$22</f>
              <numCache>
                <formatCode>General</formatCode>
                <ptCount val="17"/>
                <pt idx="2">
                  <v>0</v>
                </pt>
                <pt idx="3">
                  <formatCode>0%</formatCode>
                  <v>0</v>
                </pt>
                <pt idx="4">
                  <formatCode>0%</formatCode>
                  <v>0</v>
                </pt>
                <pt idx="5">
                  <formatCode>0%</formatCode>
                  <v>0</v>
                </pt>
                <pt idx="6">
                  <formatCode>0%</formatCode>
                  <v>0.03333333333333333</v>
                </pt>
                <pt idx="7">
                  <formatCode>0%</formatCode>
                  <v>0</v>
                </pt>
                <pt idx="8">
                  <formatCode>0%</formatCode>
                  <v>0</v>
                </pt>
                <pt idx="9">
                  <formatCode>0%</formatCode>
                  <v>0.0625</v>
                </pt>
                <pt idx="10">
                  <formatCode>0%</formatCode>
                  <v>0</v>
                </pt>
                <pt idx="11">
                  <formatCode>0%</formatCode>
                  <v>0.1063829787234043</v>
                </pt>
                <pt idx="12">
                  <formatCode>0%</formatCode>
                  <v>0.1052631578947368</v>
                </pt>
                <pt idx="13">
                  <formatCode>0%</formatCode>
                  <v>0</v>
                </pt>
                <pt idx="14">
                  <formatCode>0%</formatCode>
                  <v>0.7142857142857143</v>
                </pt>
                <pt idx="15">
                  <formatCode>0%</formatCode>
                  <v>0</v>
                </pt>
                <pt idx="16">
                  <formatCode>0%</formatCode>
                  <v>0.2083333333333333</v>
                </pt>
              </numCache>
            </numRef>
          </val>
        </ser>
        <dLbls>
          <showLegendKey val="0"/>
          <showVal val="0"/>
          <showCatName val="0"/>
          <showSerName val="0"/>
          <showPercent val="0"/>
          <showBubbleSize val="0"/>
        </dLbls>
        <gapWidth val="100"/>
        <axId val="39400609"/>
        <axId val="68229045"/>
      </barChart>
      <catAx>
        <axId val="39400609"/>
        <scaling>
          <orientation val="minMax"/>
        </scaling>
        <delete val="0"/>
        <axPos val="l"/>
        <numFmt formatCode="General" sourceLinked="0"/>
        <majorTickMark val="out"/>
        <minorTickMark val="none"/>
        <tickLblPos val="nextTo"/>
        <spPr>
          <a:ln w="9360">
            <a:solidFill>
              <a:srgbClr val="B3B3B3"/>
            </a:solidFill>
            <a:prstDash val="solid"/>
            <a:round/>
          </a:ln>
        </spPr>
        <txPr>
          <a:bodyPr/>
          <a:lstStyle/>
          <a:p>
            <a:pPr>
              <a:defRPr sz="1000" b="0" strike="noStrike" spc="-1">
                <a:solidFill>
                  <a:srgbClr val="000000"/>
                </a:solidFill>
                <a:latin typeface="Arial"/>
              </a:defRPr>
            </a:pPr>
            <a:r>
              <a:t>None</a:t>
            </a:r>
            <a:endParaRPr lang="en-US"/>
          </a:p>
        </txPr>
        <crossAx val="68229045"/>
        <crosses val="autoZero"/>
        <auto val="1"/>
        <lblAlgn val="ctr"/>
        <lblOffset val="100"/>
        <noMultiLvlLbl val="0"/>
      </catAx>
      <valAx>
        <axId val="68229045"/>
        <scaling>
          <orientation val="minMax"/>
        </scaling>
        <delete val="0"/>
        <axPos val="b"/>
        <majorGridlines>
          <spPr>
            <a:ln w="9360">
              <a:solidFill>
                <a:srgbClr val="B3B3B3"/>
              </a:solidFill>
              <a:prstDash val="solid"/>
              <a:round/>
            </a:ln>
          </spPr>
        </majorGridlines>
        <numFmt formatCode="0%" sourceLinked="0"/>
        <majorTickMark val="out"/>
        <minorTickMark val="none"/>
        <tickLblPos val="nextTo"/>
        <spPr>
          <a:ln w="9360">
            <a:solidFill>
              <a:srgbClr val="B3B3B3"/>
            </a:solidFill>
            <a:prstDash val="solid"/>
            <a:round/>
          </a:ln>
        </spPr>
        <txPr>
          <a:bodyPr/>
          <a:lstStyle/>
          <a:p>
            <a:pPr>
              <a:defRPr sz="1000" b="0" strike="noStrike" spc="-1">
                <a:solidFill>
                  <a:srgbClr val="000000"/>
                </a:solidFill>
                <a:latin typeface="Arial"/>
              </a:defRPr>
            </a:pPr>
            <a:r>
              <a:t>None</a:t>
            </a:r>
            <a:endParaRPr lang="en-US"/>
          </a:p>
        </txPr>
        <crossAx val="39400609"/>
        <crosses val="autoZero"/>
        <crossBetween val="between"/>
      </valAx>
    </plotArea>
    <legend>
      <legendPos val="r"/>
      <overlay val="0"/>
      <spPr>
        <a:noFill/>
        <a:ln w="0">
          <a:noFill/>
          <a:prstDash val="solid"/>
        </a:ln>
      </spPr>
      <txPr>
        <a:bodyPr/>
        <a:lstStyle/>
        <a:p>
          <a:pPr>
            <a:defRPr sz="1000" b="0" strike="noStrike" spc="-1">
              <a:solidFill>
                <a:srgbClr val="000000"/>
              </a:solidFill>
              <a:latin typeface="Arial"/>
            </a:defRPr>
          </a:pPr>
          <a:r>
            <a:t>None</a:t>
          </a:r>
          <a:endParaRPr lang="en-US"/>
        </a:p>
      </txPr>
    </legend>
    <plotVisOnly val="1"/>
    <dispBlanksAs val="gap"/>
  </chart>
  <spPr>
    <a:solidFill>
      <a:srgbClr val="FFFFFF"/>
    </a:solidFill>
    <a:l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26</row>
      <rowOff>56813</rowOff>
    </from>
    <to>
      <col>13</col>
      <colOff>42840</colOff>
      <row>49</row>
      <rowOff>102533</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P26"/>
  <sheetViews>
    <sheetView showGridLines="0" tabSelected="1" zoomScale="75" zoomScaleNormal="75" workbookViewId="0">
      <selection activeCell="S27" sqref="S27"/>
    </sheetView>
  </sheetViews>
  <sheetFormatPr baseColWidth="10" defaultColWidth="8.5" defaultRowHeight="15"/>
  <cols>
    <col width="34" customWidth="1" style="33" min="1" max="1"/>
    <col width="11" customWidth="1" style="33" min="2" max="13"/>
  </cols>
  <sheetData>
    <row r="1" ht="36" customHeight="1" s="33">
      <c r="A1" s="32" t="inlineStr">
        <is>
          <t>Combined ASVS Tracker - Sprint 1 &amp; Sprint 2</t>
        </is>
      </c>
    </row>
    <row r="2" ht="19.5" customHeight="1" s="33">
      <c r="A2" s="34" t="inlineStr">
        <is>
          <t>Sprint 1: Functional Requirements Testing (RF01, RF02, RF03, RF04)</t>
        </is>
      </c>
    </row>
    <row r="3" ht="18" customHeight="1" s="33">
      <c r="A3" s="34" t="inlineStr">
        <is>
          <t>Sprint 2: OWASP ZAP Dynamic Analysis (Baseline + Active Scan)</t>
        </is>
      </c>
    </row>
    <row r="4" ht="19.5" customHeight="1" s="33">
      <c r="A4" s="1" t="inlineStr">
        <is>
          <t>OWASP ASVS 5.0 – Compliance Tracker</t>
        </is>
      </c>
    </row>
    <row r="5" ht="31.5" customHeight="1" s="33">
      <c r="A5" s="2" t="n"/>
    </row>
    <row r="6" ht="18" customHeight="1" s="33">
      <c r="A6" s="3" t="n"/>
      <c r="C6" s="4" t="n"/>
      <c r="E6" s="4" t="n"/>
      <c r="G6" s="4" t="n"/>
      <c r="I6" s="4" t="n"/>
      <c r="K6" s="4" t="n"/>
      <c r="M6" s="4" t="n"/>
      <c r="O6" s="4" t="n"/>
    </row>
    <row r="7" ht="18" customHeight="1" s="33"/>
    <row r="8" ht="18" customHeight="1" s="33">
      <c r="A8" s="5" t="inlineStr">
        <is>
          <t>Chapter</t>
        </is>
      </c>
      <c r="B8" s="5" t="inlineStr">
        <is>
          <t>Total
Reqs</t>
        </is>
      </c>
      <c r="C8" s="5" t="inlineStr">
        <is>
          <t>L1
Total</t>
        </is>
      </c>
      <c r="D8" s="5" t="inlineStr">
        <is>
          <t>L1
Compliant</t>
        </is>
      </c>
      <c r="E8" s="5" t="inlineStr">
        <is>
          <t>L1
%</t>
        </is>
      </c>
      <c r="F8" s="5" t="inlineStr">
        <is>
          <t>L2
Total</t>
        </is>
      </c>
      <c r="G8" s="5" t="inlineStr">
        <is>
          <t>L2
Compliant</t>
        </is>
      </c>
      <c r="H8" s="5" t="inlineStr">
        <is>
          <t>L2
%</t>
        </is>
      </c>
      <c r="I8" s="5" t="inlineStr">
        <is>
          <t>L3
Total</t>
        </is>
      </c>
      <c r="J8" s="5" t="inlineStr">
        <is>
          <t>L3
Compliant</t>
        </is>
      </c>
      <c r="K8" s="5" t="inlineStr">
        <is>
          <t>L3
%</t>
        </is>
      </c>
      <c r="L8" s="5" t="inlineStr">
        <is>
          <t>Overall
Compliant</t>
        </is>
      </c>
      <c r="M8" s="5" t="inlineStr">
        <is>
          <t>Overall
%</t>
        </is>
      </c>
    </row>
    <row r="9" ht="18" customHeight="1" s="33">
      <c r="A9" s="6" t="inlineStr">
        <is>
          <t>V1 – Encoding and Sanitization</t>
        </is>
      </c>
      <c r="B9" s="7" t="n">
        <v>30</v>
      </c>
      <c r="C9" s="7" t="n">
        <v>8</v>
      </c>
      <c r="D9" s="7">
        <f>COUNTIFS('V1 - Encoding and Sanitization'!$F$2:$F$36,"Compliant",'V1 - Encoding and Sanitization'!$E$2:$E$36,1)</f>
        <v/>
      </c>
      <c r="E9" s="8">
        <f>IF(C6=0,"",D6/C6)</f>
        <v/>
      </c>
      <c r="F9" s="7" t="n">
        <v>19</v>
      </c>
      <c r="G9" s="7">
        <f>COUNTIFS('V1 - Encoding and Sanitization'!$F$2:$F$36,"Compliant",'V1 - Encoding and Sanitization'!$E$2:$E$36,2)</f>
        <v/>
      </c>
      <c r="H9" s="8">
        <f>IF(F6=0,"",G6/F6)</f>
        <v/>
      </c>
      <c r="I9" s="7" t="n">
        <v>3</v>
      </c>
      <c r="J9" s="7">
        <f>COUNTIFS('V1 - Encoding and Sanitization'!$F$2:$F$36,"Compliant",'V1 - Encoding and Sanitization'!$E$2:$E$36,3)</f>
        <v/>
      </c>
      <c r="K9" s="8">
        <f>IF(I6=0,"",J6/I6)</f>
        <v/>
      </c>
      <c r="L9" s="7">
        <f>COUNTIF('V1 - Encoding and Sanitization'!$F$2:$F$36,"Compliant")</f>
        <v/>
      </c>
      <c r="M9" s="8">
        <f>IF(B6=0,"",L6/B6)</f>
        <v/>
      </c>
    </row>
    <row r="10" ht="18" customHeight="1" s="33">
      <c r="A10" s="9" t="inlineStr">
        <is>
          <t>V2 – Validation and Business Logic</t>
        </is>
      </c>
      <c r="B10" s="10" t="n">
        <v>13</v>
      </c>
      <c r="C10" s="10" t="n">
        <v>4</v>
      </c>
      <c r="D10" s="10">
        <f>COUNTIFS('V2 - Validation and Business Lo'!$F$2:$F$18,"Compliant",'V2 - Validation and Business Lo'!$E$2:$E$18,1)</f>
        <v/>
      </c>
      <c r="E10" s="11">
        <f>IF(C7=0,"",D7/C7)</f>
        <v/>
      </c>
      <c r="F10" s="10" t="n">
        <v>7</v>
      </c>
      <c r="G10" s="10">
        <f>COUNTIFS('V2 - Validation and Business Lo'!$F$2:$F$18,"Compliant",'V2 - Validation and Business Lo'!$E$2:$E$18,2)</f>
        <v/>
      </c>
      <c r="H10" s="11">
        <f>IF(F7=0,"",G7/F7)</f>
        <v/>
      </c>
      <c r="I10" s="10" t="n">
        <v>2</v>
      </c>
      <c r="J10" s="10">
        <f>COUNTIFS('V2 - Validation and Business Lo'!$F$2:$F$18,"Compliant",'V2 - Validation and Business Lo'!$E$2:$E$18,3)</f>
        <v/>
      </c>
      <c r="K10" s="11">
        <f>IF(I7=0,"",J7/I7)</f>
        <v/>
      </c>
      <c r="L10" s="10">
        <f>COUNTIF('V2 - Validation and Business Lo'!$F$2:$F$18,"Compliant")</f>
        <v/>
      </c>
      <c r="M10" s="11">
        <f>IF(B7=0,"",L7/B7)</f>
        <v/>
      </c>
    </row>
    <row r="11" ht="18" customHeight="1" s="33">
      <c r="A11" s="6" t="inlineStr">
        <is>
          <t>V3 – Web Frontend Security</t>
        </is>
      </c>
      <c r="B11" s="7" t="n">
        <v>31</v>
      </c>
      <c r="C11" s="7" t="n">
        <v>8</v>
      </c>
      <c r="D11" s="7">
        <f>COUNTIFS('V3 - Web Frontend Security'!$F$2:$F$39,"Compliant",'V3 - Web Frontend Security'!$E$2:$E$39,1)</f>
        <v/>
      </c>
      <c r="E11" s="8" t="inlineStr">
        <is>
          <t>0%</t>
        </is>
      </c>
      <c r="F11" s="7" t="n">
        <v>11</v>
      </c>
      <c r="G11" s="7">
        <f>COUNTIFS('V3 - Web Frontend Security'!$F$2:$F$39,"Compliant",'V3 - Web Frontend Security'!$E$2:$E$39,2)</f>
        <v/>
      </c>
      <c r="H11" s="8" t="inlineStr">
        <is>
          <t>0%</t>
        </is>
      </c>
      <c r="I11" s="7" t="n">
        <v>12</v>
      </c>
      <c r="J11" s="7">
        <f>COUNTIFS('V3 - Web Frontend Security'!$F$2:$F$39,"Compliant",'V3 - Web Frontend Security'!$E$2:$E$39,3)</f>
        <v/>
      </c>
      <c r="K11" s="8" t="inlineStr">
        <is>
          <t>0%</t>
        </is>
      </c>
      <c r="L11" s="7">
        <f>COUNTIF('V3 - Web Frontend Security'!$F$2:$F$39,"Compliant")</f>
        <v/>
      </c>
      <c r="M11" s="8" t="inlineStr">
        <is>
          <t>0%</t>
        </is>
      </c>
    </row>
    <row r="12" ht="18" customHeight="1" s="33">
      <c r="A12" s="9" t="inlineStr">
        <is>
          <t>V4 – API and Web Service</t>
        </is>
      </c>
      <c r="B12" s="10" t="n">
        <v>16</v>
      </c>
      <c r="C12" s="10" t="n">
        <v>2</v>
      </c>
      <c r="D12" s="10">
        <f>COUNTIFS('V4 - API and Web Service'!$F$2:$F$21,"Compliant",'V4 - API and Web Service'!$E$2:$E$21,1)</f>
        <v/>
      </c>
      <c r="E12" s="11">
        <f>IF(C9=0,"",D9/C9)</f>
        <v/>
      </c>
      <c r="F12" s="10" t="n">
        <v>8</v>
      </c>
      <c r="G12" s="10">
        <f>COUNTIFS('V4 - API and Web Service'!$F$2:$F$21,"Compliant",'V4 - API and Web Service'!$E$2:$E$21,2)</f>
        <v/>
      </c>
      <c r="H12" s="11">
        <f>IF(F9=0,"",G9/F9)</f>
        <v/>
      </c>
      <c r="I12" s="10" t="n">
        <v>6</v>
      </c>
      <c r="J12" s="10">
        <f>COUNTIFS('V4 - API and Web Service'!$F$2:$F$21,"Compliant",'V4 - API and Web Service'!$E$2:$E$21,3)</f>
        <v/>
      </c>
      <c r="K12" s="11">
        <f>IF(I9=0,"",J9/I9)</f>
        <v/>
      </c>
      <c r="L12" s="10">
        <f>COUNTIF('V4 - API and Web Service'!$F$2:$F$21,"Compliant")</f>
        <v/>
      </c>
      <c r="M12" s="11">
        <f>IF(B9=0,"",L9/B9)</f>
        <v/>
      </c>
    </row>
    <row r="13" ht="18" customHeight="1" s="33">
      <c r="A13" s="6" t="inlineStr">
        <is>
          <t>V5 – File Handling</t>
        </is>
      </c>
      <c r="B13" s="7" t="n">
        <v>13</v>
      </c>
      <c r="C13" s="7" t="n">
        <v>4</v>
      </c>
      <c r="D13" s="7">
        <f>COUNTIFS('V5 - File Handling'!$F$2:$F$18,"Compliant",'V5 - File Handling'!$E$2:$E$18,1)</f>
        <v/>
      </c>
      <c r="E13" s="8">
        <f>IF(C10=0,"",D10/C10)</f>
        <v/>
      </c>
      <c r="F13" s="7" t="n">
        <v>5</v>
      </c>
      <c r="G13" s="7">
        <f>COUNTIFS('V5 - File Handling'!$F$2:$F$18,"Compliant",'V5 - File Handling'!$E$2:$E$18,2)</f>
        <v/>
      </c>
      <c r="H13" s="8">
        <f>IF(F10=0,"",G10/F10)</f>
        <v/>
      </c>
      <c r="I13" s="7" t="n">
        <v>4</v>
      </c>
      <c r="J13" s="7">
        <f>COUNTIFS('V5 - File Handling'!$F$2:$F$18,"Compliant",'V5 - File Handling'!$E$2:$E$18,3)</f>
        <v/>
      </c>
      <c r="K13" s="8">
        <f>IF(I10=0,"",J10/I10)</f>
        <v/>
      </c>
      <c r="L13" s="7">
        <f>COUNTIF('V5 - File Handling'!$F$2:$F$18,"Compliant")</f>
        <v/>
      </c>
      <c r="M13" s="8">
        <f>IF(B10=0,"",L10/B10)</f>
        <v/>
      </c>
    </row>
    <row r="14" ht="18" customHeight="1" s="33">
      <c r="A14" s="9" t="inlineStr">
        <is>
          <t>V6 – Authentication</t>
        </is>
      </c>
      <c r="B14" s="10" t="n">
        <v>47</v>
      </c>
      <c r="C14" s="10" t="n">
        <v>13</v>
      </c>
      <c r="D14" s="10">
        <f>COUNTIFS('V6 - Authentication'!$F$2:$F$56,"Compliant",'V6 - Authentication'!$E$2:$E$56,1)</f>
        <v/>
      </c>
      <c r="E14" s="11">
        <f>IF(C11=0,"",D11/C11)</f>
        <v/>
      </c>
      <c r="F14" s="10" t="n">
        <v>22</v>
      </c>
      <c r="G14" s="10">
        <f>COUNTIFS('V6 - Authentication'!$F$2:$F$56,"Compliant",'V6 - Authentication'!$E$2:$E$56,2)</f>
        <v/>
      </c>
      <c r="H14" s="11">
        <f>IF(F11=0,"",G11/F11)</f>
        <v/>
      </c>
      <c r="I14" s="10" t="n">
        <v>12</v>
      </c>
      <c r="J14" s="10">
        <f>COUNTIFS('V6 - Authentication'!$F$2:$F$56,"Compliant",'V6 - Authentication'!$E$2:$E$56,3)</f>
        <v/>
      </c>
      <c r="K14" s="11">
        <f>IF(I11=0,"",J11/I11)</f>
        <v/>
      </c>
      <c r="L14" s="10">
        <f>COUNTIF('V6 - Authentication'!$F$2:$F$56,"Compliant")</f>
        <v/>
      </c>
      <c r="M14" s="11">
        <f>IF(B11=0,"",L11/B11)</f>
        <v/>
      </c>
    </row>
    <row r="15" ht="18" customHeight="1" s="33">
      <c r="A15" s="6" t="inlineStr">
        <is>
          <t>V7 – Session Management</t>
        </is>
      </c>
      <c r="B15" s="7" t="n">
        <v>19</v>
      </c>
      <c r="C15" s="7" t="n">
        <v>6</v>
      </c>
      <c r="D15" s="7">
        <f>COUNTIFS('V7 - Session Management'!$F$2:$F$26,"Compliant",'V7 - Session Management'!$E$2:$E$26,1)</f>
        <v/>
      </c>
      <c r="E15" s="8">
        <f>IF(C12=0,"",D12/C12)</f>
        <v/>
      </c>
      <c r="F15" s="7" t="n">
        <v>12</v>
      </c>
      <c r="G15" s="7">
        <f>COUNTIFS('V7 - Session Management'!$F$2:$F$26,"Compliant",'V7 - Session Management'!$E$2:$E$26,2)</f>
        <v/>
      </c>
      <c r="H15" s="8">
        <f>IF(F12=0,"",G12/F12)</f>
        <v/>
      </c>
      <c r="I15" s="7" t="n">
        <v>1</v>
      </c>
      <c r="J15" s="7">
        <f>COUNTIFS('V7 - Session Management'!$F$2:$F$26,"Compliant",'V7 - Session Management'!$E$2:$E$26,3)</f>
        <v/>
      </c>
      <c r="K15" s="8">
        <f>IF(I12=0,"",J12/I12)</f>
        <v/>
      </c>
      <c r="L15" s="7">
        <f>COUNTIF('V7 - Session Management'!$F$2:$F$26,"Compliant")</f>
        <v/>
      </c>
      <c r="M15" s="8">
        <f>IF(B12=0,"",L12/B12)</f>
        <v/>
      </c>
    </row>
    <row r="16" ht="18" customHeight="1" s="33">
      <c r="A16" s="9" t="inlineStr">
        <is>
          <t>V8 – Authorization</t>
        </is>
      </c>
      <c r="B16" s="10" t="n">
        <v>13</v>
      </c>
      <c r="C16" s="10" t="n">
        <v>4</v>
      </c>
      <c r="D16" s="10">
        <f>COUNTIFS('V8 - Authorization'!$F$2:$F$18,"Compliant",'V8 - Authorization'!$E$2:$E$18,1)</f>
        <v/>
      </c>
      <c r="E16" s="11">
        <f>IF(C13=0,"",D13/C13)</f>
        <v/>
      </c>
      <c r="F16" s="10" t="n">
        <v>3</v>
      </c>
      <c r="G16" s="10">
        <f>COUNTIFS('V8 - Authorization'!$F$2:$F$18,"Compliant",'V8 - Authorization'!$E$2:$E$18,2)</f>
        <v/>
      </c>
      <c r="H16" s="11">
        <f>IF(F13=0,"",G13/F13)</f>
        <v/>
      </c>
      <c r="I16" s="10" t="n">
        <v>6</v>
      </c>
      <c r="J16" s="10">
        <f>COUNTIFS('V8 - Authorization'!$F$2:$F$18,"Compliant",'V8 - Authorization'!$E$2:$E$18,3)</f>
        <v/>
      </c>
      <c r="K16" s="11">
        <f>IF(I13=0,"",J13/I13)</f>
        <v/>
      </c>
      <c r="L16" s="10">
        <f>COUNTIF('V8 - Authorization'!$F$2:$F$18,"Compliant")</f>
        <v/>
      </c>
      <c r="M16" s="11">
        <f>IF(B13=0,"",L13/B13)</f>
        <v/>
      </c>
    </row>
    <row r="17" ht="18" customHeight="1" s="33">
      <c r="A17" s="6" t="inlineStr">
        <is>
          <t>V9 – Self-contained Tokens</t>
        </is>
      </c>
      <c r="B17" s="7" t="n">
        <v>7</v>
      </c>
      <c r="C17" s="7" t="n">
        <v>4</v>
      </c>
      <c r="D17" s="7">
        <f>COUNTIFS('V9 - Self-contained Tokens'!$F$2:$F$10,"Compliant",'V9 - Self-contained Tokens'!$E$2:$E$10,1)</f>
        <v/>
      </c>
      <c r="E17" s="8">
        <f>IF(C14=0,"",D14/C14)</f>
        <v/>
      </c>
      <c r="F17" s="7" t="n">
        <v>3</v>
      </c>
      <c r="G17" s="7">
        <f>COUNTIFS('V9 - Self-contained Tokens'!$F$2:$F$10,"Compliant",'V9 - Self-contained Tokens'!$E$2:$E$10,2)</f>
        <v/>
      </c>
      <c r="H17" s="8">
        <f>IF(F14=0,"",G14/F14)</f>
        <v/>
      </c>
      <c r="I17" s="7" t="n">
        <v>0</v>
      </c>
      <c r="J17" s="7" t="inlineStr">
        <is>
          <t>N/A</t>
        </is>
      </c>
      <c r="K17" s="7" t="inlineStr">
        <is>
          <t>N/A</t>
        </is>
      </c>
      <c r="L17" s="7">
        <f>COUNTIF('V9 - Self-contained Tokens'!$F$2:$F$10,"Compliant")</f>
        <v/>
      </c>
      <c r="M17" s="8">
        <f>IF(B14=0,"",L14/B14)</f>
        <v/>
      </c>
    </row>
    <row r="18" ht="18" customHeight="1" s="33">
      <c r="A18" s="9" t="inlineStr">
        <is>
          <t>V10 – OAuth and OIDC</t>
        </is>
      </c>
      <c r="B18" s="10" t="n">
        <v>36</v>
      </c>
      <c r="C18" s="10" t="n">
        <v>5</v>
      </c>
      <c r="D18" s="10">
        <f>COUNTIFS('V10 - OAuth and OIDC'!$F$2:$F$44,"Compliant",'V10 - OAuth and OIDC'!$E$2:$E$44,1)</f>
        <v/>
      </c>
      <c r="E18" s="11">
        <f>IF(C15=0,"",D15/C15)</f>
        <v/>
      </c>
      <c r="F18" s="10" t="n">
        <v>24</v>
      </c>
      <c r="G18" s="10">
        <f>COUNTIFS('V10 - OAuth and OIDC'!$F$2:$F$44,"Compliant",'V10 - OAuth and OIDC'!$E$2:$E$44,2)</f>
        <v/>
      </c>
      <c r="H18" s="11">
        <f>IF(F15=0,"",G15/F15)</f>
        <v/>
      </c>
      <c r="I18" s="10" t="n">
        <v>7</v>
      </c>
      <c r="J18" s="10">
        <f>COUNTIFS('V10 - OAuth and OIDC'!$F$2:$F$44,"Compliant",'V10 - OAuth and OIDC'!$E$2:$E$44,3)</f>
        <v/>
      </c>
      <c r="K18" s="11">
        <f>IF(I15=0,"",J15/I15)</f>
        <v/>
      </c>
      <c r="L18" s="10">
        <f>COUNTIF('V10 - OAuth and OIDC'!$F$2:$F$44,"Compliant")</f>
        <v/>
      </c>
      <c r="M18" s="11">
        <f>IF(B15=0,"",L15/B15)</f>
        <v/>
      </c>
    </row>
    <row r="19" ht="18" customHeight="1" s="33">
      <c r="A19" s="6" t="inlineStr">
        <is>
          <t>V11 – Cryptography</t>
        </is>
      </c>
      <c r="B19" s="7" t="n">
        <v>24</v>
      </c>
      <c r="C19" s="7" t="n">
        <v>3</v>
      </c>
      <c r="D19" s="7">
        <f>COUNTIFS('V11 - Cryptography'!$F$2:$F$32,"Compliant",'V11 - Cryptography'!$E$2:$E$32,1)</f>
        <v/>
      </c>
      <c r="E19" s="8">
        <f>IF(C16=0,"",D16/C16)</f>
        <v/>
      </c>
      <c r="F19" s="7" t="n">
        <v>11</v>
      </c>
      <c r="G19" s="7">
        <f>COUNTIFS('V11 - Cryptography'!$F$2:$F$32,"Compliant",'V11 - Cryptography'!$E$2:$E$32,2)</f>
        <v/>
      </c>
      <c r="H19" s="8">
        <f>IF(F16=0,"",G16/F16)</f>
        <v/>
      </c>
      <c r="I19" s="7" t="n">
        <v>10</v>
      </c>
      <c r="J19" s="7">
        <f>COUNTIFS('V11 - Cryptography'!$F$2:$F$32,"Compliant",'V11 - Cryptography'!$E$2:$E$32,3)</f>
        <v/>
      </c>
      <c r="K19" s="8">
        <f>IF(I16=0,"",J16/I16)</f>
        <v/>
      </c>
      <c r="L19" s="7">
        <f>COUNTIF('V11 - Cryptography'!$F$2:$F$32,"Compliant")</f>
        <v/>
      </c>
      <c r="M19" s="8">
        <f>IF(B16=0,"",L16/B16)</f>
        <v/>
      </c>
    </row>
    <row r="20" ht="18" customHeight="1" s="33">
      <c r="A20" s="9" t="inlineStr">
        <is>
          <t>V12 – Secure Communication</t>
        </is>
      </c>
      <c r="B20" s="10" t="n">
        <v>12</v>
      </c>
      <c r="C20" s="10" t="n">
        <v>3</v>
      </c>
      <c r="D20" s="10">
        <f>COUNTIFS('V12 - Secure Communication'!$F$2:$F$16,"Compliant",'V12 - Secure Communication'!$E$2:$E$16,1)</f>
        <v/>
      </c>
      <c r="E20" s="11">
        <f>IF(C17=0,"",D17/C17)</f>
        <v/>
      </c>
      <c r="F20" s="10" t="n">
        <v>6</v>
      </c>
      <c r="G20" s="10">
        <f>COUNTIFS('V12 - Secure Communication'!$F$2:$F$16,"Compliant",'V12 - Secure Communication'!$E$2:$E$16,2)</f>
        <v/>
      </c>
      <c r="H20" s="11">
        <f>IF(F17=0,"",G17/F17)</f>
        <v/>
      </c>
      <c r="I20" s="10" t="n">
        <v>3</v>
      </c>
      <c r="J20" s="10">
        <f>COUNTIFS('V12 - Secure Communication'!$F$2:$F$16,"Compliant",'V12 - Secure Communication'!$E$2:$E$16,3)</f>
        <v/>
      </c>
      <c r="K20" s="11">
        <f>IF(I17=0,"",J17/I17)</f>
        <v/>
      </c>
      <c r="L20" s="10">
        <f>COUNTIF('V12 - Secure Communication'!$F$2:$F$16,"Compliant")</f>
        <v/>
      </c>
      <c r="M20" s="11">
        <f>IF(B17=0,"",L17/B17)</f>
        <v/>
      </c>
    </row>
    <row r="21" ht="18" customHeight="1" s="33">
      <c r="A21" s="6" t="inlineStr">
        <is>
          <t>V13 – Configuration</t>
        </is>
      </c>
      <c r="B21" s="7" t="n">
        <v>21</v>
      </c>
      <c r="C21" s="7" t="n">
        <v>1</v>
      </c>
      <c r="D21" s="7">
        <f>COUNTIFS('V13 - Configuration'!$F$2:$F$26,"Compliant",'V13 - Configuration'!$E$2:$E$26,1)</f>
        <v/>
      </c>
      <c r="E21" s="8">
        <f>IF(C18=0,"",D18/C18)</f>
        <v/>
      </c>
      <c r="F21" s="7" t="n">
        <v>12</v>
      </c>
      <c r="G21" s="7">
        <f>COUNTIFS('V13 - Configuration'!$F$2:$F$26,"Compliant",'V13 - Configuration'!$E$2:$E$26,2)</f>
        <v/>
      </c>
      <c r="H21" s="8">
        <f>IF(F18=0,"",G18/F18)</f>
        <v/>
      </c>
      <c r="I21" s="7" t="n">
        <v>8</v>
      </c>
      <c r="J21" s="7">
        <f>COUNTIFS('V13 - Configuration'!$F$2:$F$26,"Compliant",'V13 - Configuration'!$E$2:$E$26,3)</f>
        <v/>
      </c>
      <c r="K21" s="8">
        <f>IF(I18=0,"",J18/I18)</f>
        <v/>
      </c>
      <c r="L21" s="7">
        <f>COUNTIF('V13 - Configuration'!$F$2:$F$26,"Compliant")</f>
        <v/>
      </c>
      <c r="M21" s="8">
        <f>IF(B18=0,"",L18/B18)</f>
        <v/>
      </c>
    </row>
    <row r="22" ht="18" customHeight="1" s="33">
      <c r="A22" s="9" t="inlineStr">
        <is>
          <t>V14 – Data Protection</t>
        </is>
      </c>
      <c r="B22" s="10" t="n">
        <v>13</v>
      </c>
      <c r="C22" s="10" t="n">
        <v>2</v>
      </c>
      <c r="D22" s="10">
        <f>COUNTIFS('V14 - Data Protection'!$F$2:$F$17,"Compliant",'V14 - Data Protection'!$E$2:$E$17,1)</f>
        <v/>
      </c>
      <c r="E22" s="11">
        <f>IF(C19=0,"",D19/C19)</f>
        <v/>
      </c>
      <c r="F22" s="10" t="n">
        <v>7</v>
      </c>
      <c r="G22" s="10">
        <f>COUNTIFS('V14 - Data Protection'!$F$2:$F$17,"Compliant",'V14 - Data Protection'!$E$2:$E$17,2)</f>
        <v/>
      </c>
      <c r="H22" s="11">
        <f>IF(F19=0,"",G19/F19)</f>
        <v/>
      </c>
      <c r="I22" s="10" t="n">
        <v>4</v>
      </c>
      <c r="J22" s="10">
        <f>COUNTIFS('V14 - Data Protection'!$F$2:$F$17,"Compliant",'V14 - Data Protection'!$E$2:$E$17,3)</f>
        <v/>
      </c>
      <c r="K22" s="11">
        <f>IF(I19=0,"",J19/I19)</f>
        <v/>
      </c>
      <c r="L22" s="10">
        <f>COUNTIF('V14 - Data Protection'!$F$2:$F$17,"Compliant")</f>
        <v/>
      </c>
      <c r="M22" s="11">
        <f>IF(B19=0,"",L19/B19)</f>
        <v/>
      </c>
    </row>
    <row r="23" ht="21.75" customHeight="1" s="33">
      <c r="A23" s="6" t="inlineStr">
        <is>
          <t>V15 – Secure Coding and Architecture</t>
        </is>
      </c>
      <c r="B23" s="7" t="n">
        <v>21</v>
      </c>
      <c r="C23" s="7" t="n">
        <v>3</v>
      </c>
      <c r="D23" s="7">
        <f>COUNTIFS('V15 - Secure Coding and Archite'!$F$2:$F$26,"Compliant",'V15 - Secure Coding and Archite'!$E$2:$E$26,1)</f>
        <v/>
      </c>
      <c r="E23" s="8">
        <f>IF(C20=0,"",D20/C20)</f>
        <v/>
      </c>
      <c r="F23" s="7" t="n">
        <v>10</v>
      </c>
      <c r="G23" s="7">
        <f>COUNTIFS('V15 - Secure Coding and Archite'!$F$2:$F$26,"Compliant",'V15 - Secure Coding and Archite'!$E$2:$E$26,2)</f>
        <v/>
      </c>
      <c r="H23" s="8">
        <f>IF(F20=0,"",G20/F20)</f>
        <v/>
      </c>
      <c r="I23" s="7" t="n">
        <v>8</v>
      </c>
      <c r="J23" s="7">
        <f>COUNTIFS('V15 - Secure Coding and Archite'!$F$2:$F$26,"Compliant",'V15 - Secure Coding and Archite'!$E$2:$E$26,3)</f>
        <v/>
      </c>
      <c r="K23" s="8">
        <f>IF(I20=0,"",J20/I20)</f>
        <v/>
      </c>
      <c r="L23" s="7">
        <f>COUNTIF('V15 - Secure Coding and Archite'!$F$2:$F$26,"Compliant")</f>
        <v/>
      </c>
      <c r="M23" s="8">
        <f>IF(B20=0,"",L20/B20)</f>
        <v/>
      </c>
    </row>
    <row r="24" ht="15" customHeight="1" s="33">
      <c r="A24" s="9" t="inlineStr">
        <is>
          <t>V16 – Security Logging and Error Handling</t>
        </is>
      </c>
      <c r="B24" s="10" t="n">
        <v>17</v>
      </c>
      <c r="C24" s="10" t="n">
        <v>0</v>
      </c>
      <c r="D24" s="10" t="inlineStr">
        <is>
          <t>N/A</t>
        </is>
      </c>
      <c r="E24" s="10" t="inlineStr">
        <is>
          <t>N/A</t>
        </is>
      </c>
      <c r="F24" s="10" t="n">
        <v>16</v>
      </c>
      <c r="G24" s="10">
        <f>COUNTIFS('V16 - Security Logging and Erro'!$F$2:$F$23,"Compliant",'V16 - Security Logging and Erro'!$E$2:$E$23,2)</f>
        <v/>
      </c>
      <c r="H24" s="11">
        <f>IF(F21=0,"",G21/F21)</f>
        <v/>
      </c>
      <c r="I24" s="10" t="n">
        <v>1</v>
      </c>
      <c r="J24" s="10">
        <f>COUNTIFS('V16 - Security Logging and Erro'!$F$2:$F$23,"Compliant",'V16 - Security Logging and Erro'!$E$2:$E$23,3)</f>
        <v/>
      </c>
      <c r="K24" s="11">
        <f>IF(I21=0,"",J21/I21)</f>
        <v/>
      </c>
      <c r="L24" s="10">
        <f>COUNTIF('V16 - Security Logging and Erro'!$F$2:$F$23,"Compliant")</f>
        <v/>
      </c>
      <c r="M24" s="11">
        <f>IF(B21=0,"",L21/B21)</f>
        <v/>
      </c>
    </row>
    <row r="25" ht="15" customHeight="1" s="33">
      <c r="A25" s="6" t="inlineStr">
        <is>
          <t>V17 – WebRTC</t>
        </is>
      </c>
      <c r="B25" s="7" t="n">
        <v>12</v>
      </c>
      <c r="C25" s="7" t="n">
        <v>0</v>
      </c>
      <c r="D25" s="7" t="inlineStr">
        <is>
          <t>N/A</t>
        </is>
      </c>
      <c r="E25" s="7" t="inlineStr">
        <is>
          <t>N/A</t>
        </is>
      </c>
      <c r="F25" s="7" t="n">
        <v>7</v>
      </c>
      <c r="G25" s="7">
        <f>COUNTIFS('V17 - WebRTC'!$F$2:$F$16,"Compliant",'V17 - WebRTC'!$E$2:$E$16,2)</f>
        <v/>
      </c>
      <c r="H25" s="8">
        <f>IF(F22=0,"",G22/F22)</f>
        <v/>
      </c>
      <c r="I25" s="7" t="n">
        <v>5</v>
      </c>
      <c r="J25" s="7">
        <f>COUNTIFS('V17 - WebRTC'!$F$2:$F$16,"Compliant",'V17 - WebRTC'!$E$2:$E$16,3)</f>
        <v/>
      </c>
      <c r="K25" s="8">
        <f>IF(I22=0,"",J22/I22)</f>
        <v/>
      </c>
      <c r="L25" s="7">
        <f>COUNTIF('V17 - WebRTC'!$F$2:$F$16,"Compliant")</f>
        <v/>
      </c>
      <c r="M25" s="8">
        <f>IF(B22=0,"",L22/B22)</f>
        <v/>
      </c>
    </row>
    <row r="26" ht="15" customHeight="1" s="33">
      <c r="A26" s="12" t="inlineStr">
        <is>
          <t>TOTAL</t>
        </is>
      </c>
      <c r="B26" s="13">
        <f>SUM(B6:B22)</f>
        <v/>
      </c>
      <c r="C26" s="13">
        <f>SUM(C6:C22)</f>
        <v/>
      </c>
      <c r="D26" s="13">
        <f>SUM(D6:D22)</f>
        <v/>
      </c>
      <c r="E26" s="14">
        <f>IFERROR(AVERAGE(E6:E22),"")</f>
        <v/>
      </c>
      <c r="F26" s="13">
        <f>SUM(F6:F22)</f>
        <v/>
      </c>
      <c r="G26" s="13">
        <f>SUM(G6:G22)</f>
        <v/>
      </c>
      <c r="H26" s="14">
        <f>IFERROR(AVERAGE(H6:H22),"")</f>
        <v/>
      </c>
      <c r="I26" s="13">
        <f>SUM(I6:I22)</f>
        <v/>
      </c>
      <c r="J26" s="13">
        <f>SUM(J6:J22)</f>
        <v/>
      </c>
      <c r="K26" s="14">
        <f>IFERROR(AVERAGE(K6:K22),"")</f>
        <v/>
      </c>
      <c r="L26" s="13">
        <f>SUM(L6:L22)</f>
        <v/>
      </c>
      <c r="M26" s="14">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6"/>
  <sheetViews>
    <sheetView zoomScale="75" zoomScaleNormal="75" workbookViewId="0">
      <pane ySplit="1" topLeftCell="A2" activePane="bottomLeft" state="frozen"/>
      <selection pane="bottomLeft" activeCell="G34" sqref="G34"/>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V1.1</t>
        </is>
      </c>
      <c r="B2" s="16" t="inlineStr">
        <is>
          <t>Encoding and Sanitization Architecture</t>
        </is>
      </c>
      <c r="C2" s="16" t="n"/>
      <c r="D2" s="16" t="n"/>
      <c r="E2" s="16" t="n"/>
      <c r="F2" s="16" t="n"/>
      <c r="G2" s="16" t="n"/>
      <c r="H2" s="16" t="n"/>
    </row>
    <row r="3" ht="30" customHeight="1" s="33">
      <c r="A3" s="17" t="inlineStr">
        <is>
          <t>V1.1</t>
        </is>
      </c>
      <c r="B3" s="17" t="inlineStr">
        <is>
          <t>Encoding and Sanitization Architecture</t>
        </is>
      </c>
      <c r="C3" s="18" t="inlineStr">
        <is>
          <t>V1.1.1</t>
        </is>
      </c>
      <c r="D3" s="19"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20" t="n">
        <v>2</v>
      </c>
      <c r="F3" s="21" t="inlineStr">
        <is>
          <t>Not Started</t>
        </is>
      </c>
      <c r="G3" s="19" t="n"/>
      <c r="H3" s="19" t="n"/>
    </row>
    <row r="4" ht="30" customHeight="1" s="33">
      <c r="A4" s="22" t="inlineStr">
        <is>
          <t>V1.1</t>
        </is>
      </c>
      <c r="B4" s="22" t="inlineStr">
        <is>
          <t>Encoding and Sanitization Architecture</t>
        </is>
      </c>
      <c r="C4" s="23" t="inlineStr">
        <is>
          <t>V1.1.2</t>
        </is>
      </c>
      <c r="D4" s="24" t="inlineStr">
        <is>
          <t>Verify that the application performs output encoding and escaping either as a final step before being used by the interpreter for which it is intended or by the interpreter itself.</t>
        </is>
      </c>
      <c r="E4" s="20" t="n">
        <v>2</v>
      </c>
      <c r="F4" s="21" t="inlineStr">
        <is>
          <t>Not Started</t>
        </is>
      </c>
      <c r="G4" s="24" t="n"/>
      <c r="H4" s="24" t="n"/>
    </row>
    <row r="5" ht="18" customHeight="1" s="33">
      <c r="A5" s="16" t="inlineStr">
        <is>
          <t>V1.2</t>
        </is>
      </c>
      <c r="B5" s="16" t="inlineStr">
        <is>
          <t>Injection Prevention</t>
        </is>
      </c>
      <c r="C5" s="16" t="n"/>
      <c r="D5" s="16" t="n"/>
      <c r="E5" s="16" t="n"/>
      <c r="F5" s="16" t="n"/>
      <c r="G5" s="16" t="n"/>
      <c r="H5" s="16" t="n"/>
    </row>
    <row r="6" ht="30" customHeight="1" s="33">
      <c r="A6" s="17" t="inlineStr">
        <is>
          <t>V1.2</t>
        </is>
      </c>
      <c r="B6" s="17" t="inlineStr">
        <is>
          <t>Injection Prevention</t>
        </is>
      </c>
      <c r="C6" s="18" t="inlineStr">
        <is>
          <t>V1.2.1</t>
        </is>
      </c>
      <c r="D6" s="19"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25" t="n">
        <v>1</v>
      </c>
      <c r="F6" s="21" t="inlineStr">
        <is>
          <t>Not Started</t>
        </is>
      </c>
      <c r="G6" s="19" t="n"/>
      <c r="H6" s="19" t="n"/>
    </row>
    <row r="7" ht="30" customHeight="1" s="33">
      <c r="A7" s="22" t="inlineStr">
        <is>
          <t>V1.2</t>
        </is>
      </c>
      <c r="B7" s="22" t="inlineStr">
        <is>
          <t>Injection Prevention</t>
        </is>
      </c>
      <c r="C7" s="23" t="inlineStr">
        <is>
          <t>V1.2.2</t>
        </is>
      </c>
      <c r="D7" s="24" t="inlineStr">
        <is>
          <t>Verify that when dynamically building URLs, untrusted data is encoded according to its context (e.g., URL encoding or base64url encoding for query or path parameters). Ensure that only safe URL protocols are permitted (e.g., disallow javascript: or data:).</t>
        </is>
      </c>
      <c r="E7" s="25" t="n">
        <v>1</v>
      </c>
      <c r="F7" s="21" t="inlineStr">
        <is>
          <t>Not Started</t>
        </is>
      </c>
      <c r="G7" s="24" t="n"/>
      <c r="H7" s="24" t="n"/>
    </row>
    <row r="8" ht="30" customHeight="1" s="33">
      <c r="A8" s="17" t="inlineStr">
        <is>
          <t>V1.2</t>
        </is>
      </c>
      <c r="B8" s="17" t="inlineStr">
        <is>
          <t>Injection Prevention</t>
        </is>
      </c>
      <c r="C8" s="18" t="inlineStr">
        <is>
          <t>V1.2.3</t>
        </is>
      </c>
      <c r="D8" s="19" t="inlineStr">
        <is>
          <t>Verify that output encoding or escaping is used when dynamically building JavaScript content (including JSON), to avoid changing the message or document structure (to avoid JavaScript and JSON injection).</t>
        </is>
      </c>
      <c r="E8" s="25" t="n">
        <v>1</v>
      </c>
      <c r="F8" s="21" t="inlineStr">
        <is>
          <t>Not Started</t>
        </is>
      </c>
      <c r="G8" s="19" t="n"/>
      <c r="H8" s="19" t="n"/>
    </row>
    <row r="9" ht="30" customHeight="1" s="33">
      <c r="A9" s="22" t="inlineStr">
        <is>
          <t>V1.2</t>
        </is>
      </c>
      <c r="B9" s="22" t="inlineStr">
        <is>
          <t>Injection Prevention</t>
        </is>
      </c>
      <c r="C9" s="23" t="inlineStr">
        <is>
          <t>V1.2.4</t>
        </is>
      </c>
      <c r="D9" s="24"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25" t="n">
        <v>1</v>
      </c>
      <c r="F9" s="21" t="inlineStr">
        <is>
          <t>Not Started</t>
        </is>
      </c>
      <c r="G9" s="24" t="inlineStr">
        <is>
          <t>[RF02] Queries são executadas com o Process ID e nome do ficheiro
[RF04] RF04: acesso à tabela de auditoria via ORM (Entity Framework) com queries parametrizadas. Ameaça T4.3 inclui SQL Injection como vetor para corromper logs.</t>
        </is>
      </c>
      <c r="H9" s="24" t="n"/>
    </row>
    <row r="10" ht="30" customHeight="1" s="33">
      <c r="A10" s="17" t="inlineStr">
        <is>
          <t>V1.2</t>
        </is>
      </c>
      <c r="B10" s="17" t="inlineStr">
        <is>
          <t>Injection Prevention</t>
        </is>
      </c>
      <c r="C10" s="18" t="inlineStr">
        <is>
          <t>V1.2.5</t>
        </is>
      </c>
      <c r="D10" s="19" t="inlineStr">
        <is>
          <t>Verify that the application protects against OS command injection and that operating system calls use parameterized OS queries or use contextual command line output encoding.</t>
        </is>
      </c>
      <c r="E10" s="25" t="n">
        <v>1</v>
      </c>
      <c r="F10" s="21" t="inlineStr">
        <is>
          <t>Not Started</t>
        </is>
      </c>
      <c r="G10" s="19" t="n"/>
      <c r="H10" s="19" t="n"/>
    </row>
    <row r="11" ht="30" customHeight="1" s="33">
      <c r="A11" s="22" t="inlineStr">
        <is>
          <t>V1.2</t>
        </is>
      </c>
      <c r="B11" s="22" t="inlineStr">
        <is>
          <t>Injection Prevention</t>
        </is>
      </c>
      <c r="C11" s="23" t="inlineStr">
        <is>
          <t>V1.2.6</t>
        </is>
      </c>
      <c r="D11" s="24" t="inlineStr">
        <is>
          <t>Verify that the application protects against LDAP injection vulnerabilities, or that specific security controls to prevent LDAP injection have been implemented.</t>
        </is>
      </c>
      <c r="E11" s="20" t="n">
        <v>2</v>
      </c>
      <c r="F11" s="21" t="inlineStr">
        <is>
          <t>Not Started</t>
        </is>
      </c>
      <c r="G11" s="24" t="n"/>
      <c r="H11" s="24" t="n"/>
    </row>
    <row r="12" ht="30" customHeight="1" s="33">
      <c r="A12" s="17" t="inlineStr">
        <is>
          <t>V1.2</t>
        </is>
      </c>
      <c r="B12" s="17" t="inlineStr">
        <is>
          <t>Injection Prevention</t>
        </is>
      </c>
      <c r="C12" s="18" t="inlineStr">
        <is>
          <t>V1.2.7</t>
        </is>
      </c>
      <c r="D12" s="19" t="inlineStr">
        <is>
          <t>Verify that the application is protected against XPath injection attacks by using query parameterization or precompiled queries.</t>
        </is>
      </c>
      <c r="E12" s="20" t="n">
        <v>2</v>
      </c>
      <c r="F12" s="21" t="inlineStr">
        <is>
          <t>Not Started</t>
        </is>
      </c>
      <c r="G12" s="19" t="n"/>
      <c r="H12" s="19" t="n"/>
    </row>
    <row r="13" ht="30" customHeight="1" s="33">
      <c r="A13" s="22" t="inlineStr">
        <is>
          <t>V1.2</t>
        </is>
      </c>
      <c r="B13" s="22" t="inlineStr">
        <is>
          <t>Injection Prevention</t>
        </is>
      </c>
      <c r="C13" s="23" t="inlineStr">
        <is>
          <t>V1.2.8</t>
        </is>
      </c>
      <c r="D13" s="24" t="inlineStr">
        <is>
          <t>Verify that LaTeX processors are configured securely (such as not using the "--shell-escape" flag) and an allowlist of commands is used to prevent LaTeX injection attacks.</t>
        </is>
      </c>
      <c r="E13" s="20" t="n">
        <v>2</v>
      </c>
      <c r="F13" s="21" t="inlineStr">
        <is>
          <t>Not Started</t>
        </is>
      </c>
      <c r="G13" s="24" t="n"/>
      <c r="H13" s="24" t="n"/>
    </row>
    <row r="14" ht="30" customHeight="1" s="33">
      <c r="A14" s="17" t="inlineStr">
        <is>
          <t>V1.2</t>
        </is>
      </c>
      <c r="B14" s="17" t="inlineStr">
        <is>
          <t>Injection Prevention</t>
        </is>
      </c>
      <c r="C14" s="18" t="inlineStr">
        <is>
          <t>V1.2.9</t>
        </is>
      </c>
      <c r="D14" s="19" t="inlineStr">
        <is>
          <t>Verify that the application escapes special characters in regular expressions (typically using a backslash) to prevent them from being misinterpreted as metacharacters.</t>
        </is>
      </c>
      <c r="E14" s="20" t="n">
        <v>2</v>
      </c>
      <c r="F14" s="21" t="inlineStr">
        <is>
          <t>Not Started</t>
        </is>
      </c>
      <c r="G14" s="19" t="n"/>
      <c r="H14" s="19" t="n"/>
    </row>
    <row r="15" ht="30" customHeight="1" s="33">
      <c r="A15" s="22" t="inlineStr">
        <is>
          <t>V1.2</t>
        </is>
      </c>
      <c r="B15" s="22" t="inlineStr">
        <is>
          <t>Injection Prevention</t>
        </is>
      </c>
      <c r="C15" s="23" t="inlineStr">
        <is>
          <t>V1.2.10</t>
        </is>
      </c>
      <c r="D15" s="24"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26" t="n">
        <v>3</v>
      </c>
      <c r="F15" s="21" t="inlineStr">
        <is>
          <t>Not Started</t>
        </is>
      </c>
      <c r="G15" s="24" t="n"/>
      <c r="H15" s="24" t="n"/>
    </row>
    <row r="16" ht="18" customHeight="1" s="33">
      <c r="A16" s="16" t="inlineStr">
        <is>
          <t>V1.3</t>
        </is>
      </c>
      <c r="B16" s="16" t="inlineStr">
        <is>
          <t>Sanitization</t>
        </is>
      </c>
      <c r="C16" s="16" t="n"/>
      <c r="D16" s="16" t="n"/>
      <c r="E16" s="16" t="n"/>
      <c r="F16" s="16" t="n"/>
      <c r="G16" s="16" t="n"/>
      <c r="H16" s="16" t="n"/>
    </row>
    <row r="17" ht="30" customHeight="1" s="33">
      <c r="A17" s="17" t="inlineStr">
        <is>
          <t>V1.3</t>
        </is>
      </c>
      <c r="B17" s="17" t="inlineStr">
        <is>
          <t>Sanitization</t>
        </is>
      </c>
      <c r="C17" s="18" t="inlineStr">
        <is>
          <t>V1.3.1</t>
        </is>
      </c>
      <c r="D17" s="19" t="inlineStr">
        <is>
          <t>Verify that all untrusted HTML input from WYSIWYG editors or similar is sanitized using a well-known and secure HTML sanitization library or framework feature.</t>
        </is>
      </c>
      <c r="E17" s="25" t="n">
        <v>1</v>
      </c>
      <c r="F17" s="21" t="inlineStr">
        <is>
          <t>Not Started</t>
        </is>
      </c>
      <c r="G17" s="19" t="n"/>
      <c r="H17" s="19" t="n"/>
    </row>
    <row r="18" ht="30" customHeight="1" s="33">
      <c r="A18" s="22" t="inlineStr">
        <is>
          <t>V1.3</t>
        </is>
      </c>
      <c r="B18" s="22" t="inlineStr">
        <is>
          <t>Sanitization</t>
        </is>
      </c>
      <c r="C18" s="23" t="inlineStr">
        <is>
          <t>V1.3.2</t>
        </is>
      </c>
      <c r="D18" s="24" t="inlineStr">
        <is>
          <t>Verify that the application avoids the use of eval() or other dynamic code execution features such as Spring Expression Language (SpEL). Where there is no alternative, any user input being included must be sanitized before being executed.</t>
        </is>
      </c>
      <c r="E18" s="25" t="n">
        <v>1</v>
      </c>
      <c r="F18" s="21" t="inlineStr">
        <is>
          <t>Not Started</t>
        </is>
      </c>
      <c r="G18" s="24" t="n"/>
      <c r="H18" s="24" t="n"/>
    </row>
    <row r="19" ht="30" customHeight="1" s="33">
      <c r="A19" s="17" t="inlineStr">
        <is>
          <t>V1.3</t>
        </is>
      </c>
      <c r="B19" s="17" t="inlineStr">
        <is>
          <t>Sanitization</t>
        </is>
      </c>
      <c r="C19" s="18" t="inlineStr">
        <is>
          <t>V1.3.3</t>
        </is>
      </c>
      <c r="D19" s="19" t="inlineStr">
        <is>
          <t>Verify that data being passed to a potentially dangerous context is sanitized beforehand to enforce safety measures, such as only allowing characters which are safe for this context and trimming input which is too long.</t>
        </is>
      </c>
      <c r="E19" s="20" t="n">
        <v>2</v>
      </c>
      <c r="F19" s="21" t="inlineStr">
        <is>
          <t>Not Started</t>
        </is>
      </c>
      <c r="G19" s="19" t="n"/>
      <c r="H19" s="19" t="n"/>
    </row>
    <row r="20" ht="30" customHeight="1" s="33">
      <c r="A20" s="22" t="inlineStr">
        <is>
          <t>V1.3</t>
        </is>
      </c>
      <c r="B20" s="22" t="inlineStr">
        <is>
          <t>Sanitization</t>
        </is>
      </c>
      <c r="C20" s="23" t="inlineStr">
        <is>
          <t>V1.3.4</t>
        </is>
      </c>
      <c r="D20" s="24" t="inlineStr">
        <is>
          <t>Verify that user-supplied Scalable Vector Graphics (SVG) scriptable content is validated or sanitized to contain only tags and attributes (such as draw graphics) that are safe for the application, e.g., do not contain scripts and foreignObject.</t>
        </is>
      </c>
      <c r="E20" s="20" t="n">
        <v>2</v>
      </c>
      <c r="F20" s="21" t="inlineStr">
        <is>
          <t>Not Started</t>
        </is>
      </c>
      <c r="G20" s="24" t="n"/>
      <c r="H20" s="24" t="n"/>
    </row>
    <row r="21" ht="30" customHeight="1" s="33">
      <c r="A21" s="17" t="inlineStr">
        <is>
          <t>V1.3</t>
        </is>
      </c>
      <c r="B21" s="17" t="inlineStr">
        <is>
          <t>Sanitization</t>
        </is>
      </c>
      <c r="C21" s="18" t="inlineStr">
        <is>
          <t>V1.3.5</t>
        </is>
      </c>
      <c r="D21" s="19" t="inlineStr">
        <is>
          <t>Verify that the application sanitizes or disables user-supplied scriptable or expression template language content, such as Markdown, CSS or XSL stylesheets, BBCode, or similar.</t>
        </is>
      </c>
      <c r="E21" s="20" t="n">
        <v>2</v>
      </c>
      <c r="F21" s="21" t="inlineStr">
        <is>
          <t>Not Started</t>
        </is>
      </c>
      <c r="G21" s="19" t="n"/>
      <c r="H21" s="19" t="n"/>
    </row>
    <row r="22" ht="30" customHeight="1" s="33">
      <c r="A22" s="22" t="inlineStr">
        <is>
          <t>V1.3</t>
        </is>
      </c>
      <c r="B22" s="22" t="inlineStr">
        <is>
          <t>Sanitization</t>
        </is>
      </c>
      <c r="C22" s="23" t="inlineStr">
        <is>
          <t>V1.3.6</t>
        </is>
      </c>
      <c r="D22" s="24"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20" t="n">
        <v>2</v>
      </c>
      <c r="F22" s="21" t="inlineStr">
        <is>
          <t>Not Started</t>
        </is>
      </c>
      <c r="G22" s="24" t="n"/>
      <c r="H22" s="24" t="n"/>
    </row>
    <row r="23" ht="30" customHeight="1" s="33">
      <c r="A23" s="17" t="inlineStr">
        <is>
          <t>V1.3</t>
        </is>
      </c>
      <c r="B23" s="17" t="inlineStr">
        <is>
          <t>Sanitization</t>
        </is>
      </c>
      <c r="C23" s="18" t="inlineStr">
        <is>
          <t>V1.3.7</t>
        </is>
      </c>
      <c r="D23" s="19"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20" t="n">
        <v>2</v>
      </c>
      <c r="F23" s="21" t="inlineStr">
        <is>
          <t>Not Started</t>
        </is>
      </c>
      <c r="G23" s="19" t="n"/>
      <c r="H23" s="19" t="n"/>
    </row>
    <row r="24" ht="30" customHeight="1" s="33">
      <c r="A24" s="22" t="inlineStr">
        <is>
          <t>V1.3</t>
        </is>
      </c>
      <c r="B24" s="22" t="inlineStr">
        <is>
          <t>Sanitization</t>
        </is>
      </c>
      <c r="C24" s="23" t="inlineStr">
        <is>
          <t>V1.3.8</t>
        </is>
      </c>
      <c r="D24" s="24" t="inlineStr">
        <is>
          <t>Verify that the application appropriately sanitizes untrusted input before use in Java Naming and Directory Interface (JNDI) queries and that JNDI is configured securely to prevent JNDI injection attacks.</t>
        </is>
      </c>
      <c r="E24" s="20" t="n">
        <v>2</v>
      </c>
      <c r="F24" s="21" t="inlineStr">
        <is>
          <t>Not Started</t>
        </is>
      </c>
      <c r="G24" s="24" t="n"/>
      <c r="H24" s="24" t="n"/>
    </row>
    <row r="25" ht="30" customHeight="1" s="33">
      <c r="A25" s="17" t="inlineStr">
        <is>
          <t>V1.3</t>
        </is>
      </c>
      <c r="B25" s="17" t="inlineStr">
        <is>
          <t>Sanitization</t>
        </is>
      </c>
      <c r="C25" s="18" t="inlineStr">
        <is>
          <t>V1.3.9</t>
        </is>
      </c>
      <c r="D25" s="19" t="inlineStr">
        <is>
          <t>Verify that the application sanitizes content before it is sent to memcache to prevent injection attacks.</t>
        </is>
      </c>
      <c r="E25" s="20" t="n">
        <v>2</v>
      </c>
      <c r="F25" s="21" t="inlineStr">
        <is>
          <t>Not Started</t>
        </is>
      </c>
      <c r="G25" s="19" t="n"/>
      <c r="H25" s="19" t="n"/>
    </row>
    <row r="26" ht="30" customHeight="1" s="33">
      <c r="A26" s="22" t="inlineStr">
        <is>
          <t>V1.3</t>
        </is>
      </c>
      <c r="B26" s="22" t="inlineStr">
        <is>
          <t>Sanitization</t>
        </is>
      </c>
      <c r="C26" s="23" t="inlineStr">
        <is>
          <t>V1.3.10</t>
        </is>
      </c>
      <c r="D26" s="24" t="inlineStr">
        <is>
          <t>Verify that format strings which might resolve in an unexpected or malicious way when used are sanitized before being processed.</t>
        </is>
      </c>
      <c r="E26" s="20" t="n">
        <v>2</v>
      </c>
      <c r="F26" s="21" t="inlineStr">
        <is>
          <t>Not Started</t>
        </is>
      </c>
      <c r="G26" s="24" t="n"/>
      <c r="H26" s="24" t="n"/>
    </row>
    <row r="27" ht="30" customHeight="1" s="33">
      <c r="A27" s="17" t="inlineStr">
        <is>
          <t>V1.3</t>
        </is>
      </c>
      <c r="B27" s="17" t="inlineStr">
        <is>
          <t>Sanitization</t>
        </is>
      </c>
      <c r="C27" s="18" t="inlineStr">
        <is>
          <t>V1.3.11</t>
        </is>
      </c>
      <c r="D27" s="19" t="inlineStr">
        <is>
          <t>Verify that the application sanitizes user input before passing to mail systems to protect against SMTP or IMAP injection.</t>
        </is>
      </c>
      <c r="E27" s="20" t="n">
        <v>2</v>
      </c>
      <c r="F27" s="21" t="inlineStr">
        <is>
          <t>Not Started</t>
        </is>
      </c>
      <c r="G27" s="19" t="n"/>
      <c r="H27" s="19" t="n"/>
    </row>
    <row r="28" ht="30" customHeight="1" s="33">
      <c r="A28" s="22" t="inlineStr">
        <is>
          <t>V1.3</t>
        </is>
      </c>
      <c r="B28" s="22" t="inlineStr">
        <is>
          <t>Sanitization</t>
        </is>
      </c>
      <c r="C28" s="23" t="inlineStr">
        <is>
          <t>V1.3.12</t>
        </is>
      </c>
      <c r="D28" s="24" t="inlineStr">
        <is>
          <t>Verify that regular expressions are free from elements causing exponential backtracking, and ensure untrusted input is sanitized to mitigate ReDoS or Runaway Regex attacks.</t>
        </is>
      </c>
      <c r="E28" s="26" t="n">
        <v>3</v>
      </c>
      <c r="F28" s="21" t="inlineStr">
        <is>
          <t>Not Started</t>
        </is>
      </c>
      <c r="G28" s="24" t="n"/>
      <c r="H28" s="24" t="n"/>
    </row>
    <row r="29" ht="18" customHeight="1" s="33">
      <c r="A29" s="16" t="inlineStr">
        <is>
          <t>V1.4</t>
        </is>
      </c>
      <c r="B29" s="16" t="inlineStr">
        <is>
          <t>Memory, String, and Unmanaged Code</t>
        </is>
      </c>
      <c r="C29" s="16" t="n"/>
      <c r="D29" s="16" t="n"/>
      <c r="E29" s="16" t="n"/>
      <c r="F29" s="16" t="n"/>
      <c r="G29" s="16" t="n"/>
      <c r="H29" s="16" t="n"/>
    </row>
    <row r="30" ht="30" customHeight="1" s="33">
      <c r="A30" s="17" t="inlineStr">
        <is>
          <t>V1.4</t>
        </is>
      </c>
      <c r="B30" s="17" t="inlineStr">
        <is>
          <t>Memory, String, and Unmanaged Code</t>
        </is>
      </c>
      <c r="C30" s="18" t="inlineStr">
        <is>
          <t>V1.4.1</t>
        </is>
      </c>
      <c r="D30" s="19" t="inlineStr">
        <is>
          <t>Verify that the application uses memory-safe string, safer memory copy and pointer arithmetic to detect or prevent stack, buffer, or heap overflows.</t>
        </is>
      </c>
      <c r="E30" s="20" t="n">
        <v>2</v>
      </c>
      <c r="F30" s="21" t="inlineStr">
        <is>
          <t>Not Started</t>
        </is>
      </c>
      <c r="G30" s="19" t="n"/>
      <c r="H30" s="19" t="n"/>
    </row>
    <row r="31" ht="30" customHeight="1" s="33">
      <c r="A31" s="22" t="inlineStr">
        <is>
          <t>V1.4</t>
        </is>
      </c>
      <c r="B31" s="22" t="inlineStr">
        <is>
          <t>Memory, String, and Unmanaged Code</t>
        </is>
      </c>
      <c r="C31" s="23" t="inlineStr">
        <is>
          <t>V1.4.2</t>
        </is>
      </c>
      <c r="D31" s="24" t="inlineStr">
        <is>
          <t>Verify that sign, range, and input validation techniques are used to prevent integer overflows.</t>
        </is>
      </c>
      <c r="E31" s="20" t="n">
        <v>2</v>
      </c>
      <c r="F31" s="21" t="inlineStr">
        <is>
          <t>Not Started</t>
        </is>
      </c>
      <c r="G31" s="24" t="n"/>
      <c r="H31" s="24" t="n"/>
    </row>
    <row r="32" ht="30" customHeight="1" s="33">
      <c r="A32" s="17" t="inlineStr">
        <is>
          <t>V1.4</t>
        </is>
      </c>
      <c r="B32" s="17" t="inlineStr">
        <is>
          <t>Memory, String, and Unmanaged Code</t>
        </is>
      </c>
      <c r="C32" s="18" t="inlineStr">
        <is>
          <t>V1.4.3</t>
        </is>
      </c>
      <c r="D32" s="19" t="inlineStr">
        <is>
          <t>Verify that dynamically allocated memory and resources are released, and that references or pointers to freed memory are removed or set to null to prevent dangling pointers and use-after-free vulnerabilities.</t>
        </is>
      </c>
      <c r="E32" s="20" t="n">
        <v>2</v>
      </c>
      <c r="F32" s="21" t="inlineStr">
        <is>
          <t>Not Started</t>
        </is>
      </c>
      <c r="G32" s="19" t="n"/>
      <c r="H32" s="19" t="n"/>
    </row>
    <row r="33" ht="18" customHeight="1" s="33">
      <c r="A33" s="16" t="inlineStr">
        <is>
          <t>V1.5</t>
        </is>
      </c>
      <c r="B33" s="16" t="inlineStr">
        <is>
          <t>Safe Deserialization</t>
        </is>
      </c>
      <c r="C33" s="16" t="n"/>
      <c r="D33" s="16" t="n"/>
      <c r="E33" s="16" t="n"/>
      <c r="F33" s="16" t="n"/>
      <c r="G33" s="16" t="n"/>
      <c r="H33" s="16" t="n"/>
    </row>
    <row r="34" ht="30" customHeight="1" s="33">
      <c r="A34" s="17" t="inlineStr">
        <is>
          <t>V1.5</t>
        </is>
      </c>
      <c r="B34" s="17" t="inlineStr">
        <is>
          <t>Safe Deserialization</t>
        </is>
      </c>
      <c r="C34" s="18" t="inlineStr">
        <is>
          <t>V1.5.1</t>
        </is>
      </c>
      <c r="D34" s="19" t="inlineStr">
        <is>
          <t>Verify that the application configures XML parsers to use a restrictive configuration and that unsafe features such as resolving external entities are disabled to prevent XML eXternal Entity (XXE) attacks.</t>
        </is>
      </c>
      <c r="E34" s="25" t="n">
        <v>1</v>
      </c>
      <c r="F34" s="21" t="inlineStr">
        <is>
          <t>Not Started</t>
        </is>
      </c>
      <c r="G34" s="19" t="inlineStr">
        <is>
          <t>[RF02] Ficheiros DOCX são ZIP+XML internamente.</t>
        </is>
      </c>
      <c r="H34" s="19" t="n"/>
    </row>
    <row r="35" ht="30" customHeight="1" s="33">
      <c r="A35" s="22" t="inlineStr">
        <is>
          <t>V1.5</t>
        </is>
      </c>
      <c r="B35" s="22" t="inlineStr">
        <is>
          <t>Safe Deserialization</t>
        </is>
      </c>
      <c r="C35" s="23" t="inlineStr">
        <is>
          <t>V1.5.2</t>
        </is>
      </c>
      <c r="D35" s="24"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20" t="n">
        <v>2</v>
      </c>
      <c r="F35" s="21" t="inlineStr">
        <is>
          <t>Not Started</t>
        </is>
      </c>
      <c r="G35" s="24" t="inlineStr">
        <is>
          <t>[RF02] Não processar contéudo XML com deserializadores inseguros</t>
        </is>
      </c>
      <c r="H35" s="24" t="n"/>
    </row>
    <row r="36" ht="30" customHeight="1" s="33">
      <c r="A36" s="17" t="inlineStr">
        <is>
          <t>V1.5</t>
        </is>
      </c>
      <c r="B36" s="17" t="inlineStr">
        <is>
          <t>Safe Deserialization</t>
        </is>
      </c>
      <c r="C36" s="18" t="inlineStr">
        <is>
          <t>V1.5.3</t>
        </is>
      </c>
      <c r="D36" s="19"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26" t="n">
        <v>3</v>
      </c>
      <c r="F36" s="21" t="inlineStr">
        <is>
          <t>Not Started</t>
        </is>
      </c>
      <c r="G36" s="19" t="n"/>
      <c r="H36" s="19" t="n"/>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H18"/>
  <sheetViews>
    <sheetView zoomScale="75" zoomScaleNormal="75" workbookViewId="0">
      <pane ySplit="1" topLeftCell="A2" activePane="bottomLeft" state="frozen"/>
      <selection pane="bottomLeft" activeCell="G13" sqref="G13"/>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V2.1</t>
        </is>
      </c>
      <c r="B2" s="16" t="inlineStr">
        <is>
          <t>Validation and Business Logic Documentation</t>
        </is>
      </c>
      <c r="C2" s="16" t="n"/>
      <c r="D2" s="16" t="n"/>
      <c r="E2" s="16" t="n"/>
      <c r="F2" s="16" t="n"/>
      <c r="G2" s="16" t="n"/>
      <c r="H2" s="16" t="n"/>
    </row>
    <row r="3" ht="30" customHeight="1" s="33">
      <c r="A3" s="17" t="inlineStr">
        <is>
          <t>V2.1</t>
        </is>
      </c>
      <c r="B3" s="17" t="inlineStr">
        <is>
          <t>Validation and Business Logic Documentation</t>
        </is>
      </c>
      <c r="C3" s="18" t="inlineStr">
        <is>
          <t>V2.1.1</t>
        </is>
      </c>
      <c r="D3" s="19"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25" t="n">
        <v>1</v>
      </c>
      <c r="F3" s="21" t="inlineStr">
        <is>
          <t>Not Started</t>
        </is>
      </c>
      <c r="G3" s="19" t="inlineStr">
        <is>
          <t>[RF02] Apenas DOCX e PDF's são permitidos</t>
        </is>
      </c>
      <c r="H3" s="19" t="n"/>
    </row>
    <row r="4" ht="30" customHeight="1" s="33">
      <c r="A4" s="22" t="inlineStr">
        <is>
          <t>V2.1</t>
        </is>
      </c>
      <c r="B4" s="22" t="inlineStr">
        <is>
          <t>Validation and Business Logic Documentation</t>
        </is>
      </c>
      <c r="C4" s="23" t="inlineStr">
        <is>
          <t>V2.1.2</t>
        </is>
      </c>
      <c r="D4" s="24" t="inlineStr">
        <is>
          <t>Verify that the application's documentation defines how to validate the logical and contextual consistency of combined data items, such as checking that suburb and ZIP code match.</t>
        </is>
      </c>
      <c r="E4" s="20" t="n">
        <v>2</v>
      </c>
      <c r="F4" s="21" t="inlineStr">
        <is>
          <t>Not Started</t>
        </is>
      </c>
      <c r="G4" s="24" t="n"/>
      <c r="H4" s="24" t="n"/>
    </row>
    <row r="5" ht="30" customHeight="1" s="33">
      <c r="A5" s="17" t="inlineStr">
        <is>
          <t>V2.1</t>
        </is>
      </c>
      <c r="B5" s="17" t="inlineStr">
        <is>
          <t>Validation and Business Logic Documentation</t>
        </is>
      </c>
      <c r="C5" s="18" t="inlineStr">
        <is>
          <t>V2.1.3</t>
        </is>
      </c>
      <c r="D5" s="19" t="inlineStr">
        <is>
          <t>Verify that expectations for business logic limits and validations are documented, including both per-user and globally across the application.</t>
        </is>
      </c>
      <c r="E5" s="20" t="n">
        <v>2</v>
      </c>
      <c r="F5" s="21" t="inlineStr">
        <is>
          <t>Not Started</t>
        </is>
      </c>
      <c r="G5" s="19" t="inlineStr">
        <is>
          <t>[RF02] As regras de negócio (um cliente por processo, nome de ficheiro único, permissões por papel) têm de estar documentadas com limites por utilizador e globais.</t>
        </is>
      </c>
      <c r="H5" s="19" t="n"/>
    </row>
    <row r="6" ht="18" customHeight="1" s="33">
      <c r="A6" s="16" t="inlineStr">
        <is>
          <t>V2.2</t>
        </is>
      </c>
      <c r="B6" s="16" t="inlineStr">
        <is>
          <t>Input Validation</t>
        </is>
      </c>
      <c r="C6" s="16" t="n"/>
      <c r="D6" s="16" t="n"/>
      <c r="E6" s="16" t="n"/>
      <c r="F6" s="16" t="n"/>
      <c r="G6" s="16" t="n"/>
      <c r="H6" s="16" t="n"/>
    </row>
    <row r="7" ht="30" customHeight="1" s="33">
      <c r="A7" s="17" t="inlineStr">
        <is>
          <t>V2.2</t>
        </is>
      </c>
      <c r="B7" s="17" t="inlineStr">
        <is>
          <t>Input Validation</t>
        </is>
      </c>
      <c r="C7" s="18" t="inlineStr">
        <is>
          <t>V2.2.1</t>
        </is>
      </c>
      <c r="D7" s="19"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25" t="n">
        <v>1</v>
      </c>
      <c r="F7" s="21" t="inlineStr">
        <is>
          <t>Not Started</t>
        </is>
      </c>
      <c r="G7" s="19" t="inlineStr">
        <is>
          <t>[RF02] O Process ID e o Nome do ficheiro têm de ser validados no backend antes de qualquer operação ser executada.</t>
        </is>
      </c>
      <c r="H7" s="19" t="n"/>
    </row>
    <row r="8" ht="30" customHeight="1" s="33">
      <c r="A8" s="22" t="inlineStr">
        <is>
          <t>V2.2</t>
        </is>
      </c>
      <c r="B8" s="22" t="inlineStr">
        <is>
          <t>Input Validation</t>
        </is>
      </c>
      <c r="C8" s="23" t="inlineStr">
        <is>
          <t>V2.2.2</t>
        </is>
      </c>
      <c r="D8" s="24" t="inlineStr">
        <is>
          <t>Verify that the application is designed to enforce input validation at a trusted service layer. While client-side validation improves usability and should be encouraged, it must not be relied upon as a security control.</t>
        </is>
      </c>
      <c r="E8" s="25" t="n">
        <v>1</v>
      </c>
      <c r="F8" s="21" t="inlineStr">
        <is>
          <t>Not Started</t>
        </is>
      </c>
      <c r="G8" s="24" t="inlineStr">
        <is>
          <t>[RF02] Toda a validação tem de acontecer no backend .NET</t>
        </is>
      </c>
      <c r="H8" s="24" t="n"/>
    </row>
    <row r="9" ht="30" customHeight="1" s="33">
      <c r="A9" s="17" t="inlineStr">
        <is>
          <t>V2.2</t>
        </is>
      </c>
      <c r="B9" s="17" t="inlineStr">
        <is>
          <t>Input Validation</t>
        </is>
      </c>
      <c r="C9" s="18" t="inlineStr">
        <is>
          <t>V2.2.3</t>
        </is>
      </c>
      <c r="D9" s="19" t="inlineStr">
        <is>
          <t>Verify that the application ensures that combinations of related data items are reasonable according to the pre-defined rules.</t>
        </is>
      </c>
      <c r="E9" s="20" t="n">
        <v>2</v>
      </c>
      <c r="F9" s="21" t="inlineStr">
        <is>
          <t>Not Started</t>
        </is>
      </c>
      <c r="G9" s="19" t="n"/>
      <c r="H9" s="19" t="n"/>
    </row>
    <row r="10" ht="18" customHeight="1" s="33">
      <c r="A10" s="16" t="inlineStr">
        <is>
          <t>V2.3</t>
        </is>
      </c>
      <c r="B10" s="16" t="inlineStr">
        <is>
          <t>Business Logic Security</t>
        </is>
      </c>
      <c r="C10" s="16" t="n"/>
      <c r="D10" s="16" t="n"/>
      <c r="E10" s="16" t="n"/>
      <c r="F10" s="16" t="n"/>
      <c r="G10" s="16" t="n"/>
      <c r="H10" s="16" t="n"/>
    </row>
    <row r="11" ht="30" customHeight="1" s="33">
      <c r="A11" s="17" t="inlineStr">
        <is>
          <t>V2.3</t>
        </is>
      </c>
      <c r="B11" s="17" t="inlineStr">
        <is>
          <t>Business Logic Security</t>
        </is>
      </c>
      <c r="C11" s="18" t="inlineStr">
        <is>
          <t>V2.3.1</t>
        </is>
      </c>
      <c r="D11" s="19" t="inlineStr">
        <is>
          <t>Verify that the application will only process business logic flows for the same user in the expected sequential step order and without skipping steps.</t>
        </is>
      </c>
      <c r="E11" s="25" t="n">
        <v>1</v>
      </c>
      <c r="F11" s="21" t="inlineStr">
        <is>
          <t>Not Started</t>
        </is>
      </c>
      <c r="G11" s="19" t="inlineStr">
        <is>
          <t>[RF02] As operações têm de seguir a sequência correta: validação do JWT -  verificação de ownership do processo - operação</t>
        </is>
      </c>
      <c r="H11" s="19" t="n"/>
    </row>
    <row r="12" ht="30" customHeight="1" s="33">
      <c r="A12" s="22" t="inlineStr">
        <is>
          <t>V2.3</t>
        </is>
      </c>
      <c r="B12" s="22" t="inlineStr">
        <is>
          <t>Business Logic Security</t>
        </is>
      </c>
      <c r="C12" s="23" t="inlineStr">
        <is>
          <t>V2.3.2</t>
        </is>
      </c>
      <c r="D12" s="24" t="inlineStr">
        <is>
          <t>Verify that business logic limits are implemented per the application's documentation to avoid business logic flaws being exploited.</t>
        </is>
      </c>
      <c r="E12" s="20" t="n">
        <v>2</v>
      </c>
      <c r="F12" s="21" t="inlineStr">
        <is>
          <t>Not Started</t>
        </is>
      </c>
      <c r="G12" s="24" t="inlineStr">
        <is>
          <t>[RF02] As regras de negócio têm de ser verificadas pelo código, não só documentadas.</t>
        </is>
      </c>
      <c r="H12" s="24" t="n"/>
    </row>
    <row r="13" ht="30" customHeight="1" s="33">
      <c r="A13" s="17" t="inlineStr">
        <is>
          <t>V2.3</t>
        </is>
      </c>
      <c r="B13" s="17" t="inlineStr">
        <is>
          <t>Business Logic Security</t>
        </is>
      </c>
      <c r="C13" s="18" t="inlineStr">
        <is>
          <t>V2.3.3</t>
        </is>
      </c>
      <c r="D13" s="19" t="inlineStr">
        <is>
          <t>Verify that transactions are being used at the business logic level such that either a business logic operation succeeds in its entirety or it is rolled back to the previous correct state.</t>
        </is>
      </c>
      <c r="E13" s="20" t="n">
        <v>2</v>
      </c>
      <c r="F13" s="21" t="inlineStr">
        <is>
          <t>Not Started</t>
        </is>
      </c>
      <c r="G13" s="19" t="inlineStr">
        <is>
          <t>[RF02] Um upload tem de ser uma transação SQL atómica</t>
        </is>
      </c>
      <c r="H13" s="19" t="n"/>
    </row>
    <row r="14" ht="30" customHeight="1" s="33">
      <c r="A14" s="22" t="inlineStr">
        <is>
          <t>V2.3</t>
        </is>
      </c>
      <c r="B14" s="22" t="inlineStr">
        <is>
          <t>Business Logic Security</t>
        </is>
      </c>
      <c r="C14" s="23" t="inlineStr">
        <is>
          <t>V2.3.4</t>
        </is>
      </c>
      <c r="D14" s="24" t="inlineStr">
        <is>
          <t>Verify that business logic level locking mechanisms are used to ensure that limited quantity resources (such as theater seats or delivery slots) cannot be double-booked by manipulating the application's logic.</t>
        </is>
      </c>
      <c r="E14" s="20" t="n">
        <v>2</v>
      </c>
      <c r="F14" s="21" t="inlineStr">
        <is>
          <t>Not Started</t>
        </is>
      </c>
      <c r="G14" s="24" t="n"/>
      <c r="H14" s="24" t="n"/>
    </row>
    <row r="15" ht="30" customHeight="1" s="33">
      <c r="A15" s="17" t="inlineStr">
        <is>
          <t>V2.3</t>
        </is>
      </c>
      <c r="B15" s="17" t="inlineStr">
        <is>
          <t>Business Logic Security</t>
        </is>
      </c>
      <c r="C15" s="18" t="inlineStr">
        <is>
          <t>V2.3.5</t>
        </is>
      </c>
      <c r="D15" s="19"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26" t="n">
        <v>3</v>
      </c>
      <c r="F15" s="21" t="inlineStr">
        <is>
          <t>Not Started</t>
        </is>
      </c>
      <c r="G15" s="19" t="n"/>
      <c r="H15" s="19" t="n"/>
    </row>
    <row r="16" ht="18" customHeight="1" s="33">
      <c r="A16" s="16" t="inlineStr">
        <is>
          <t>V2.4</t>
        </is>
      </c>
      <c r="B16" s="16" t="inlineStr">
        <is>
          <t>Anti-automation</t>
        </is>
      </c>
      <c r="C16" s="16" t="n"/>
      <c r="D16" s="16" t="n"/>
      <c r="E16" s="16" t="n"/>
      <c r="F16" s="16" t="n"/>
      <c r="G16" s="16" t="n"/>
      <c r="H16" s="16" t="n"/>
    </row>
    <row r="17" ht="30" customHeight="1" s="33">
      <c r="A17" s="17" t="inlineStr">
        <is>
          <t>V2.4</t>
        </is>
      </c>
      <c r="B17" s="17" t="inlineStr">
        <is>
          <t>Anti-automation</t>
        </is>
      </c>
      <c r="C17" s="18" t="inlineStr">
        <is>
          <t>V2.4.1</t>
        </is>
      </c>
      <c r="D17" s="19"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20" t="n">
        <v>2</v>
      </c>
      <c r="F17" s="21" t="inlineStr">
        <is>
          <t>Not Started</t>
        </is>
      </c>
      <c r="G17" s="19" t="inlineStr">
        <is>
          <t>[RF02] Qualquer utilizador pode iterar Process IDs em loop e mas não pode descarregar documentos de outros processos
[RF04] Ameaça T4.4 (DoS/Flood – Crítico, DREAD 48): Rate Limiting por IP e por utilizador, throttling na API Gateway e WAF para prevenir sobrecarga do sistema de logging.</t>
        </is>
      </c>
      <c r="H17" s="19" t="n"/>
    </row>
    <row r="18" ht="30" customHeight="1" s="33">
      <c r="A18" s="22" t="inlineStr">
        <is>
          <t>V2.4</t>
        </is>
      </c>
      <c r="B18" s="22" t="inlineStr">
        <is>
          <t>Anti-automation</t>
        </is>
      </c>
      <c r="C18" s="23" t="inlineStr">
        <is>
          <t>V2.4.2</t>
        </is>
      </c>
      <c r="D18" s="24" t="inlineStr">
        <is>
          <t>Verify that business logic flows require realistic human timing, preventing excessively rapid transaction submissions.</t>
        </is>
      </c>
      <c r="E18" s="26" t="n">
        <v>3</v>
      </c>
      <c r="F18" s="21" t="inlineStr">
        <is>
          <t>Not Started</t>
        </is>
      </c>
      <c r="G18" s="24" t="n"/>
      <c r="H18" s="24"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sheetPr>
    <outlinePr summaryBelow="1" summaryRight="1"/>
    <pageSetUpPr/>
  </sheetPr>
  <dimension ref="A1:H39"/>
  <sheetViews>
    <sheetView zoomScale="75" zoomScaleNormal="75" workbookViewId="0">
      <pane ySplit="1" topLeftCell="A21" activePane="bottomLeft" state="frozen"/>
      <selection pane="bottomLeft" activeCell="M26" sqref="M26:M27"/>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V3.1</t>
        </is>
      </c>
      <c r="B2" s="16" t="inlineStr">
        <is>
          <t>Web Frontend Security Documentation</t>
        </is>
      </c>
      <c r="C2" s="16" t="n"/>
      <c r="D2" s="16" t="n"/>
      <c r="E2" s="16" t="n"/>
      <c r="F2" s="16" t="n"/>
      <c r="G2" s="16" t="n"/>
      <c r="H2" s="16" t="n"/>
    </row>
    <row r="3" ht="30" customHeight="1" s="33">
      <c r="A3" s="17" t="inlineStr">
        <is>
          <t>V3.1</t>
        </is>
      </c>
      <c r="B3" s="17" t="inlineStr">
        <is>
          <t>Web Frontend Security Documentation</t>
        </is>
      </c>
      <c r="C3" s="18" t="inlineStr">
        <is>
          <t>V3.1.1</t>
        </is>
      </c>
      <c r="D3" s="19"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26" t="n">
        <v>3</v>
      </c>
      <c r="F3" s="21" t="inlineStr">
        <is>
          <t>Not Started</t>
        </is>
      </c>
      <c r="G3" s="19" t="n"/>
      <c r="H3" s="19" t="n"/>
    </row>
    <row r="4" ht="18" customHeight="1" s="33">
      <c r="A4" s="16" t="inlineStr">
        <is>
          <t>V3.2</t>
        </is>
      </c>
      <c r="B4" s="16" t="inlineStr">
        <is>
          <t>Unintended Content Interpretation</t>
        </is>
      </c>
      <c r="C4" s="16" t="n"/>
      <c r="D4" s="16" t="n"/>
      <c r="E4" s="16" t="n"/>
      <c r="F4" s="16" t="n"/>
      <c r="G4" s="16" t="n"/>
      <c r="H4" s="16" t="n"/>
    </row>
    <row r="5" ht="30" customHeight="1" s="33">
      <c r="A5" s="17" t="inlineStr">
        <is>
          <t>V3.2</t>
        </is>
      </c>
      <c r="B5" s="17" t="inlineStr">
        <is>
          <t>Unintended Content Interpretation</t>
        </is>
      </c>
      <c r="C5" s="18" t="inlineStr">
        <is>
          <t>V3.2.1</t>
        </is>
      </c>
      <c r="D5" s="19"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25" t="n">
        <v>1</v>
      </c>
      <c r="F5" s="21" t="inlineStr">
        <is>
          <t>Not Started</t>
        </is>
      </c>
      <c r="G5" s="19" t="n"/>
      <c r="H5" s="19" t="n"/>
    </row>
    <row r="6" ht="30" customHeight="1" s="33">
      <c r="A6" s="22" t="inlineStr">
        <is>
          <t>V3.2</t>
        </is>
      </c>
      <c r="B6" s="22" t="inlineStr">
        <is>
          <t>Unintended Content Interpretation</t>
        </is>
      </c>
      <c r="C6" s="23" t="inlineStr">
        <is>
          <t>V3.2.2</t>
        </is>
      </c>
      <c r="D6" s="24" t="inlineStr">
        <is>
          <t>Verify that content intended to be displayed as text, rather than rendered as HTML, is handled using safe rendering functions (such as createTextNode or textContent) to prevent unintended execution of content such as HTML or JavaScript.</t>
        </is>
      </c>
      <c r="E6" s="25" t="n">
        <v>1</v>
      </c>
      <c r="F6" s="21" t="inlineStr">
        <is>
          <t>Not Started</t>
        </is>
      </c>
      <c r="G6" s="24" t="n"/>
      <c r="H6" s="24" t="n"/>
    </row>
    <row r="7" ht="30" customHeight="1" s="33">
      <c r="A7" s="17" t="inlineStr">
        <is>
          <t>V3.2</t>
        </is>
      </c>
      <c r="B7" s="17" t="inlineStr">
        <is>
          <t>Unintended Content Interpretation</t>
        </is>
      </c>
      <c r="C7" s="18" t="inlineStr">
        <is>
          <t>V3.2.3</t>
        </is>
      </c>
      <c r="D7" s="19"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26" t="n">
        <v>3</v>
      </c>
      <c r="F7" s="21" t="inlineStr">
        <is>
          <t>Not Started</t>
        </is>
      </c>
      <c r="G7" s="19" t="n"/>
      <c r="H7" s="19" t="n"/>
    </row>
    <row r="8" ht="18" customHeight="1" s="33">
      <c r="A8" s="16" t="inlineStr">
        <is>
          <t>V3.3</t>
        </is>
      </c>
      <c r="B8" s="16" t="inlineStr">
        <is>
          <t>Cookie Setup</t>
        </is>
      </c>
      <c r="C8" s="16" t="n"/>
      <c r="D8" s="16" t="n"/>
      <c r="E8" s="16" t="n"/>
      <c r="F8" s="16" t="n"/>
      <c r="G8" s="16" t="n"/>
      <c r="H8" s="16" t="n"/>
    </row>
    <row r="9" ht="30" customHeight="1" s="33">
      <c r="A9" s="17" t="inlineStr">
        <is>
          <t>V3.3</t>
        </is>
      </c>
      <c r="B9" s="17" t="inlineStr">
        <is>
          <t>Cookie Setup</t>
        </is>
      </c>
      <c r="C9" s="18" t="inlineStr">
        <is>
          <t>V3.3.1</t>
        </is>
      </c>
      <c r="D9" s="19" t="inlineStr">
        <is>
          <t>Verify that cookies have the 'Secure' attribute set, and if the '\__Host-' prefix is not used for the cookie name, the '__Secure-' prefix must be used for the cookie name.</t>
        </is>
      </c>
      <c r="E9" s="25" t="n">
        <v>1</v>
      </c>
      <c r="F9" s="21" t="inlineStr">
        <is>
          <t>Not Started</t>
        </is>
      </c>
      <c r="G9" s="19" t="n"/>
      <c r="H9" s="19" t="n"/>
    </row>
    <row r="10" ht="30" customHeight="1" s="33">
      <c r="A10" s="22" t="inlineStr">
        <is>
          <t>V3.3</t>
        </is>
      </c>
      <c r="B10" s="22" t="inlineStr">
        <is>
          <t>Cookie Setup</t>
        </is>
      </c>
      <c r="C10" s="23" t="inlineStr">
        <is>
          <t>V3.3.2</t>
        </is>
      </c>
      <c r="D10" s="24" t="inlineStr">
        <is>
          <t>Verify that each cookie's 'SameSite' attribute value is set according to the purpose of the cookie, to limit exposure to user interface redress attacks and browser-based request forgery attacks, commonly known as cross-site request forgery (CSRF).</t>
        </is>
      </c>
      <c r="E10" s="20" t="n">
        <v>2</v>
      </c>
      <c r="F10" s="21" t="inlineStr">
        <is>
          <t>Not Started</t>
        </is>
      </c>
      <c r="G10" s="24" t="n"/>
      <c r="H10" s="24" t="n"/>
    </row>
    <row r="11" ht="30" customHeight="1" s="33">
      <c r="A11" s="17" t="inlineStr">
        <is>
          <t>V3.3</t>
        </is>
      </c>
      <c r="B11" s="17" t="inlineStr">
        <is>
          <t>Cookie Setup</t>
        </is>
      </c>
      <c r="C11" s="18" t="inlineStr">
        <is>
          <t>V3.3.3</t>
        </is>
      </c>
      <c r="D11" s="19" t="inlineStr">
        <is>
          <t>Verify that cookies have the '__Host-' prefix for the cookie name unless they are explicitly designed to be shared with other hosts.</t>
        </is>
      </c>
      <c r="E11" s="20" t="n">
        <v>2</v>
      </c>
      <c r="F11" s="21" t="inlineStr">
        <is>
          <t>Not Started</t>
        </is>
      </c>
      <c r="G11" s="19" t="n"/>
      <c r="H11" s="19" t="n"/>
    </row>
    <row r="12" ht="30" customHeight="1" s="33">
      <c r="A12" s="22" t="inlineStr">
        <is>
          <t>V3.3</t>
        </is>
      </c>
      <c r="B12" s="22" t="inlineStr">
        <is>
          <t>Cookie Setup</t>
        </is>
      </c>
      <c r="C12" s="23" t="inlineStr">
        <is>
          <t>V3.3.4</t>
        </is>
      </c>
      <c r="D12" s="24"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20" t="n">
        <v>2</v>
      </c>
      <c r="F12" s="21" t="inlineStr">
        <is>
          <t>Not Started</t>
        </is>
      </c>
      <c r="G12" s="24" t="n"/>
      <c r="H12" s="24" t="n"/>
    </row>
    <row r="13" ht="30" customHeight="1" s="33">
      <c r="A13" s="17" t="inlineStr">
        <is>
          <t>V3.3</t>
        </is>
      </c>
      <c r="B13" s="17" t="inlineStr">
        <is>
          <t>Cookie Setup</t>
        </is>
      </c>
      <c r="C13" s="18" t="inlineStr">
        <is>
          <t>V3.3.5</t>
        </is>
      </c>
      <c r="D13" s="19"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26" t="n">
        <v>3</v>
      </c>
      <c r="F13" s="21" t="inlineStr">
        <is>
          <t>Not Started</t>
        </is>
      </c>
      <c r="G13" s="19" t="n"/>
      <c r="H13" s="19" t="n"/>
    </row>
    <row r="14" ht="18" customHeight="1" s="33">
      <c r="A14" s="16" t="inlineStr">
        <is>
          <t>V3.4</t>
        </is>
      </c>
      <c r="B14" s="16" t="inlineStr">
        <is>
          <t>Browser Security Mechanism Headers</t>
        </is>
      </c>
      <c r="C14" s="16" t="n"/>
      <c r="D14" s="16" t="n"/>
      <c r="E14" s="16" t="n"/>
      <c r="F14" s="16" t="n"/>
      <c r="G14" s="16" t="n"/>
      <c r="H14" s="16" t="n"/>
    </row>
    <row r="15" ht="30" customHeight="1" s="33">
      <c r="A15" s="17" t="inlineStr">
        <is>
          <t>V3.4</t>
        </is>
      </c>
      <c r="B15" s="17" t="inlineStr">
        <is>
          <t>Browser Security Mechanism Headers</t>
        </is>
      </c>
      <c r="C15" s="18" t="inlineStr">
        <is>
          <t>V3.4.1</t>
        </is>
      </c>
      <c r="D15" s="19"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25" t="n">
        <v>1</v>
      </c>
      <c r="F15" s="21" t="inlineStr">
        <is>
          <t>Not Started</t>
        </is>
      </c>
      <c r="G15" s="27" t="n"/>
      <c r="H15" s="19" t="n"/>
    </row>
    <row r="16" ht="30" customHeight="1" s="33">
      <c r="A16" s="22" t="inlineStr">
        <is>
          <t>V3.4</t>
        </is>
      </c>
      <c r="B16" s="22" t="inlineStr">
        <is>
          <t>Browser Security Mechanism Headers</t>
        </is>
      </c>
      <c r="C16" s="23" t="inlineStr">
        <is>
          <t>V3.4.2</t>
        </is>
      </c>
      <c r="D16" s="24"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25" t="n">
        <v>1</v>
      </c>
      <c r="F16" s="21" t="inlineStr">
        <is>
          <t>Not Started</t>
        </is>
      </c>
      <c r="G16" s="24" t="n"/>
      <c r="H16" s="24" t="n"/>
    </row>
    <row r="17" ht="30" customHeight="1" s="33">
      <c r="A17" s="17" t="inlineStr">
        <is>
          <t>V3.4</t>
        </is>
      </c>
      <c r="B17" s="17" t="inlineStr">
        <is>
          <t>Browser Security Mechanism Headers</t>
        </is>
      </c>
      <c r="C17" s="18" t="inlineStr">
        <is>
          <t>V3.4.3</t>
        </is>
      </c>
      <c r="D17" s="19"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20" t="n">
        <v>2</v>
      </c>
      <c r="F17" s="21" t="inlineStr">
        <is>
          <t>Not Started</t>
        </is>
      </c>
      <c r="G17" s="19" t="n"/>
      <c r="H17" s="19" t="n"/>
    </row>
    <row r="18" ht="30" customHeight="1" s="33">
      <c r="A18" s="22" t="inlineStr">
        <is>
          <t>V3.4</t>
        </is>
      </c>
      <c r="B18" s="22" t="inlineStr">
        <is>
          <t>Browser Security Mechanism Headers</t>
        </is>
      </c>
      <c r="C18" s="23" t="inlineStr">
        <is>
          <t>V3.4.4</t>
        </is>
      </c>
      <c r="D18" s="24"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20" t="n">
        <v>2</v>
      </c>
      <c r="F18" s="21" t="inlineStr">
        <is>
          <t>Not Started</t>
        </is>
      </c>
      <c r="G18" s="24" t="n"/>
      <c r="H18" s="24" t="n"/>
    </row>
    <row r="19" ht="30" customHeight="1" s="33">
      <c r="A19" s="17" t="inlineStr">
        <is>
          <t>V3.4</t>
        </is>
      </c>
      <c r="B19" s="17" t="inlineStr">
        <is>
          <t>Browser Security Mechanism Headers</t>
        </is>
      </c>
      <c r="C19" s="18" t="inlineStr">
        <is>
          <t>V3.4.5</t>
        </is>
      </c>
      <c r="D19" s="19"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20" t="n">
        <v>2</v>
      </c>
      <c r="F19" s="21" t="inlineStr">
        <is>
          <t>Not Started</t>
        </is>
      </c>
      <c r="G19" s="19" t="n"/>
      <c r="H19" s="19" t="n"/>
    </row>
    <row r="20" ht="30" customHeight="1" s="33">
      <c r="A20" s="22" t="inlineStr">
        <is>
          <t>V3.4</t>
        </is>
      </c>
      <c r="B20" s="22" t="inlineStr">
        <is>
          <t>Browser Security Mechanism Headers</t>
        </is>
      </c>
      <c r="C20" s="23" t="inlineStr">
        <is>
          <t>V3.4.6</t>
        </is>
      </c>
      <c r="D20" s="24"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20" t="n">
        <v>2</v>
      </c>
      <c r="F20" s="21" t="inlineStr">
        <is>
          <t>Not Started</t>
        </is>
      </c>
      <c r="G20" s="24" t="n"/>
      <c r="H20" s="24" t="n"/>
    </row>
    <row r="21" ht="30" customHeight="1" s="33">
      <c r="A21" s="17" t="inlineStr">
        <is>
          <t>V3.4</t>
        </is>
      </c>
      <c r="B21" s="17" t="inlineStr">
        <is>
          <t>Browser Security Mechanism Headers</t>
        </is>
      </c>
      <c r="C21" s="18" t="inlineStr">
        <is>
          <t>V3.4.7</t>
        </is>
      </c>
      <c r="D21" s="19" t="inlineStr">
        <is>
          <t>Verify that the Content-Security-Policy header field specifies a location to report violations.</t>
        </is>
      </c>
      <c r="E21" s="26" t="n">
        <v>3</v>
      </c>
      <c r="F21" s="21" t="inlineStr">
        <is>
          <t>Not Started</t>
        </is>
      </c>
      <c r="G21" s="19" t="n"/>
      <c r="H21" s="19" t="n"/>
    </row>
    <row r="22" ht="30" customHeight="1" s="33">
      <c r="A22" s="22" t="inlineStr">
        <is>
          <t>V3.4</t>
        </is>
      </c>
      <c r="B22" s="22" t="inlineStr">
        <is>
          <t>Browser Security Mechanism Headers</t>
        </is>
      </c>
      <c r="C22" s="23" t="inlineStr">
        <is>
          <t>V3.4.8</t>
        </is>
      </c>
      <c r="D22" s="24"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26" t="n">
        <v>3</v>
      </c>
      <c r="F22" s="21" t="inlineStr">
        <is>
          <t>Not Started</t>
        </is>
      </c>
      <c r="G22" s="24" t="n"/>
      <c r="H22" s="24" t="n"/>
    </row>
    <row r="23" ht="18" customHeight="1" s="33">
      <c r="A23" s="16" t="inlineStr">
        <is>
          <t>V3.5</t>
        </is>
      </c>
      <c r="B23" s="16" t="inlineStr">
        <is>
          <t>Browser Origin Separation</t>
        </is>
      </c>
      <c r="C23" s="16" t="n"/>
      <c r="D23" s="16" t="n"/>
      <c r="E23" s="16" t="n"/>
      <c r="F23" s="16" t="n"/>
      <c r="G23" s="16" t="n"/>
      <c r="H23" s="16" t="n"/>
    </row>
    <row r="24" ht="30" customHeight="1" s="33">
      <c r="A24" s="17" t="inlineStr">
        <is>
          <t>V3.5</t>
        </is>
      </c>
      <c r="B24" s="17" t="inlineStr">
        <is>
          <t>Browser Origin Separation</t>
        </is>
      </c>
      <c r="C24" s="18" t="inlineStr">
        <is>
          <t>V3.5.1</t>
        </is>
      </c>
      <c r="D24" s="19"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25" t="n">
        <v>1</v>
      </c>
      <c r="F24" s="21" t="inlineStr">
        <is>
          <t>Not Started</t>
        </is>
      </c>
      <c r="G24" s="19" t="n"/>
      <c r="H24" s="19" t="n"/>
    </row>
    <row r="25" ht="30" customHeight="1" s="33">
      <c r="A25" s="22" t="inlineStr">
        <is>
          <t>V3.5</t>
        </is>
      </c>
      <c r="B25" s="22" t="inlineStr">
        <is>
          <t>Browser Origin Separation</t>
        </is>
      </c>
      <c r="C25" s="23" t="inlineStr">
        <is>
          <t>V3.5.2</t>
        </is>
      </c>
      <c r="D25" s="24"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25" t="n">
        <v>1</v>
      </c>
      <c r="F25" s="21" t="inlineStr">
        <is>
          <t>Not Started</t>
        </is>
      </c>
      <c r="G25" s="24" t="n"/>
      <c r="H25" s="24" t="n"/>
    </row>
    <row r="26" ht="30" customHeight="1" s="33">
      <c r="A26" s="17" t="inlineStr">
        <is>
          <t>V3.5</t>
        </is>
      </c>
      <c r="B26" s="17" t="inlineStr">
        <is>
          <t>Browser Origin Separation</t>
        </is>
      </c>
      <c r="C26" s="18" t="inlineStr">
        <is>
          <t>V3.5.3</t>
        </is>
      </c>
      <c r="D26" s="19"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25" t="n">
        <v>1</v>
      </c>
      <c r="F26" s="21" t="inlineStr">
        <is>
          <t>Not Started</t>
        </is>
      </c>
      <c r="G26" s="19" t="n"/>
      <c r="H26" s="19" t="n"/>
    </row>
    <row r="27" ht="30" customHeight="1" s="33">
      <c r="A27" s="22" t="inlineStr">
        <is>
          <t>V3.5</t>
        </is>
      </c>
      <c r="B27" s="22" t="inlineStr">
        <is>
          <t>Browser Origin Separation</t>
        </is>
      </c>
      <c r="C27" s="23" t="inlineStr">
        <is>
          <t>V3.5.4</t>
        </is>
      </c>
      <c r="D27" s="24"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20" t="n">
        <v>2</v>
      </c>
      <c r="F27" s="21" t="inlineStr">
        <is>
          <t>Not Started</t>
        </is>
      </c>
      <c r="G27" s="24" t="n"/>
      <c r="H27" s="24" t="n"/>
    </row>
    <row r="28" ht="30" customHeight="1" s="33">
      <c r="A28" s="17" t="inlineStr">
        <is>
          <t>V3.5</t>
        </is>
      </c>
      <c r="B28" s="17" t="inlineStr">
        <is>
          <t>Browser Origin Separation</t>
        </is>
      </c>
      <c r="C28" s="18" t="inlineStr">
        <is>
          <t>V3.5.5</t>
        </is>
      </c>
      <c r="D28" s="19" t="inlineStr">
        <is>
          <t>Verify that messages received by the postMessage interface are discarded if the origin of the message is not trusted, or if the syntax of the message is invalid.</t>
        </is>
      </c>
      <c r="E28" s="20" t="n">
        <v>2</v>
      </c>
      <c r="F28" s="21" t="inlineStr">
        <is>
          <t>Not Started</t>
        </is>
      </c>
      <c r="G28" s="19" t="n"/>
      <c r="H28" s="19" t="n"/>
    </row>
    <row r="29" ht="30" customHeight="1" s="33">
      <c r="A29" s="22" t="inlineStr">
        <is>
          <t>V3.5</t>
        </is>
      </c>
      <c r="B29" s="22" t="inlineStr">
        <is>
          <t>Browser Origin Separation</t>
        </is>
      </c>
      <c r="C29" s="23" t="inlineStr">
        <is>
          <t>V3.5.6</t>
        </is>
      </c>
      <c r="D29" s="24" t="inlineStr">
        <is>
          <t>Verify that JSONP functionality is not enabled anywhere across the application to avoid Cross-Site Script Inclusion (XSSI) attacks.</t>
        </is>
      </c>
      <c r="E29" s="26" t="n">
        <v>3</v>
      </c>
      <c r="F29" s="21" t="inlineStr">
        <is>
          <t>Not Started</t>
        </is>
      </c>
      <c r="G29" s="24" t="n"/>
      <c r="H29" s="24" t="n"/>
    </row>
    <row r="30" ht="30" customHeight="1" s="33">
      <c r="A30" s="17" t="inlineStr">
        <is>
          <t>V3.5</t>
        </is>
      </c>
      <c r="B30" s="17" t="inlineStr">
        <is>
          <t>Browser Origin Separation</t>
        </is>
      </c>
      <c r="C30" s="18" t="inlineStr">
        <is>
          <t>V3.5.7</t>
        </is>
      </c>
      <c r="D30" s="19" t="inlineStr">
        <is>
          <t>Verify that data requiring authorization is not included in script resource responses, like JavaScript files, to prevent Cross-Site Script Inclusion (XSSI) attacks.</t>
        </is>
      </c>
      <c r="E30" s="26" t="n">
        <v>3</v>
      </c>
      <c r="F30" s="21" t="inlineStr">
        <is>
          <t>Not Started</t>
        </is>
      </c>
      <c r="G30" s="19" t="n"/>
      <c r="H30" s="19" t="n"/>
    </row>
    <row r="31" ht="30" customHeight="1" s="33">
      <c r="A31" s="22" t="inlineStr">
        <is>
          <t>V3.5</t>
        </is>
      </c>
      <c r="B31" s="22" t="inlineStr">
        <is>
          <t>Browser Origin Separation</t>
        </is>
      </c>
      <c r="C31" s="23" t="inlineStr">
        <is>
          <t>V3.5.8</t>
        </is>
      </c>
      <c r="D31" s="24"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26" t="n">
        <v>3</v>
      </c>
      <c r="F31" s="21" t="inlineStr">
        <is>
          <t>Not Started</t>
        </is>
      </c>
      <c r="G31" s="24" t="n"/>
      <c r="H31" s="24" t="n"/>
    </row>
    <row r="32" ht="18" customHeight="1" s="33">
      <c r="A32" s="16" t="inlineStr">
        <is>
          <t>V3.6</t>
        </is>
      </c>
      <c r="B32" s="16" t="inlineStr">
        <is>
          <t>External Resource Integrity</t>
        </is>
      </c>
      <c r="C32" s="16" t="n"/>
      <c r="D32" s="16" t="n"/>
      <c r="E32" s="16" t="n"/>
      <c r="F32" s="16" t="n"/>
      <c r="G32" s="16" t="n"/>
      <c r="H32" s="16" t="n"/>
    </row>
    <row r="33" ht="30" customHeight="1" s="33">
      <c r="A33" s="17" t="inlineStr">
        <is>
          <t>V3.6</t>
        </is>
      </c>
      <c r="B33" s="17" t="inlineStr">
        <is>
          <t>External Resource Integrity</t>
        </is>
      </c>
      <c r="C33" s="18" t="inlineStr">
        <is>
          <t>V3.6.1</t>
        </is>
      </c>
      <c r="D33" s="19"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26" t="n">
        <v>3</v>
      </c>
      <c r="F33" s="21" t="inlineStr">
        <is>
          <t>Not Started</t>
        </is>
      </c>
      <c r="G33" s="19" t="n"/>
      <c r="H33" s="19" t="n"/>
    </row>
    <row r="34" ht="18" customHeight="1" s="33">
      <c r="A34" s="16" t="inlineStr">
        <is>
          <t>V3.7</t>
        </is>
      </c>
      <c r="B34" s="16" t="inlineStr">
        <is>
          <t>Other Browser Security Considerations</t>
        </is>
      </c>
      <c r="C34" s="16" t="n"/>
      <c r="D34" s="16" t="n"/>
      <c r="E34" s="16" t="n"/>
      <c r="F34" s="16" t="n"/>
      <c r="G34" s="16" t="n"/>
      <c r="H34" s="16" t="n"/>
    </row>
    <row r="35" ht="30" customHeight="1" s="33">
      <c r="A35" s="17" t="inlineStr">
        <is>
          <t>V3.7</t>
        </is>
      </c>
      <c r="B35" s="17" t="inlineStr">
        <is>
          <t>Other Browser Security Considerations</t>
        </is>
      </c>
      <c r="C35" s="18" t="inlineStr">
        <is>
          <t>V3.7.1</t>
        </is>
      </c>
      <c r="D35" s="19"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20" t="n">
        <v>2</v>
      </c>
      <c r="F35" s="21" t="inlineStr">
        <is>
          <t>Not Started</t>
        </is>
      </c>
      <c r="G35" s="19" t="n"/>
      <c r="H35" s="19" t="n"/>
    </row>
    <row r="36" ht="30" customHeight="1" s="33">
      <c r="A36" s="22" t="inlineStr">
        <is>
          <t>V3.7</t>
        </is>
      </c>
      <c r="B36" s="22" t="inlineStr">
        <is>
          <t>Other Browser Security Considerations</t>
        </is>
      </c>
      <c r="C36" s="23" t="inlineStr">
        <is>
          <t>V3.7.2</t>
        </is>
      </c>
      <c r="D36" s="24" t="inlineStr">
        <is>
          <t>Verify that the application will only automatically redirect the user to a different hostname or domain (which is not controlled by the application) where the destination appears on an allowlist.</t>
        </is>
      </c>
      <c r="E36" s="20" t="n">
        <v>2</v>
      </c>
      <c r="F36" s="21" t="inlineStr">
        <is>
          <t>Not Started</t>
        </is>
      </c>
      <c r="G36" s="24" t="n"/>
      <c r="H36" s="24" t="n"/>
    </row>
    <row r="37" ht="30" customHeight="1" s="33">
      <c r="A37" s="17" t="inlineStr">
        <is>
          <t>V3.7</t>
        </is>
      </c>
      <c r="B37" s="17" t="inlineStr">
        <is>
          <t>Other Browser Security Considerations</t>
        </is>
      </c>
      <c r="C37" s="18" t="inlineStr">
        <is>
          <t>V3.7.3</t>
        </is>
      </c>
      <c r="D37" s="19" t="inlineStr">
        <is>
          <t>Verify that the application shows a notification when the user is being redirected to a URL outside of the application's control, with an option to cancel the navigation.</t>
        </is>
      </c>
      <c r="E37" s="26" t="n">
        <v>3</v>
      </c>
      <c r="F37" s="21" t="inlineStr">
        <is>
          <t>Not Started</t>
        </is>
      </c>
      <c r="G37" s="19" t="n"/>
      <c r="H37" s="19" t="n"/>
    </row>
    <row r="38" ht="30" customHeight="1" s="33">
      <c r="A38" s="22" t="inlineStr">
        <is>
          <t>V3.7</t>
        </is>
      </c>
      <c r="B38" s="22" t="inlineStr">
        <is>
          <t>Other Browser Security Considerations</t>
        </is>
      </c>
      <c r="C38" s="23" t="inlineStr">
        <is>
          <t>V3.7.4</t>
        </is>
      </c>
      <c r="D38" s="24"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26" t="n">
        <v>3</v>
      </c>
      <c r="F38" s="21" t="inlineStr">
        <is>
          <t>Not Started</t>
        </is>
      </c>
      <c r="G38" s="24" t="n"/>
      <c r="H38" s="24" t="n"/>
    </row>
    <row r="39" ht="30" customHeight="1" s="33">
      <c r="A39" s="17" t="inlineStr">
        <is>
          <t>V3.7</t>
        </is>
      </c>
      <c r="B39" s="17" t="inlineStr">
        <is>
          <t>Other Browser Security Considerations</t>
        </is>
      </c>
      <c r="C39" s="18" t="inlineStr">
        <is>
          <t>V3.7.5</t>
        </is>
      </c>
      <c r="D39" s="19" t="inlineStr">
        <is>
          <t>Verify that the application behaves as documented (such as warning the user or blocking access) if the browser used to access the application does not support the expected security features.</t>
        </is>
      </c>
      <c r="E39" s="26" t="n">
        <v>3</v>
      </c>
      <c r="F39" s="21" t="inlineStr">
        <is>
          <t>Not Started</t>
        </is>
      </c>
      <c r="G39" s="19" t="n"/>
      <c r="H39" s="19" t="n"/>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H21"/>
  <sheetViews>
    <sheetView zoomScale="75" zoomScaleNormal="75" workbookViewId="0">
      <pane ySplit="1" topLeftCell="A2" activePane="bottomLeft" state="frozen"/>
      <selection pane="bottomLeft" activeCell="D6" sqref="D6"/>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V4.1</t>
        </is>
      </c>
      <c r="B2" s="16" t="inlineStr">
        <is>
          <t>Generic Web Service Security</t>
        </is>
      </c>
      <c r="C2" s="16" t="n"/>
      <c r="D2" s="16" t="n"/>
      <c r="E2" s="16" t="n"/>
      <c r="F2" s="16" t="n"/>
      <c r="G2" s="16" t="n"/>
      <c r="H2" s="16" t="n"/>
    </row>
    <row r="3" ht="30" customHeight="1" s="33">
      <c r="A3" s="17" t="inlineStr">
        <is>
          <t>V4.1</t>
        </is>
      </c>
      <c r="B3" s="17" t="inlineStr">
        <is>
          <t>Generic Web Service Security</t>
        </is>
      </c>
      <c r="C3" s="18" t="inlineStr">
        <is>
          <t>V4.1.1</t>
        </is>
      </c>
      <c r="D3" s="19"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25" t="n">
        <v>1</v>
      </c>
      <c r="F3" s="21" t="inlineStr">
        <is>
          <t>Not Started</t>
        </is>
      </c>
      <c r="G3" s="19" t="inlineStr">
        <is>
          <t>[RF02] Cada resposta da API  tem de incluir o Content-Type correto</t>
        </is>
      </c>
      <c r="H3" s="19" t="n"/>
    </row>
    <row r="4" ht="30" customHeight="1" s="33">
      <c r="A4" s="22" t="inlineStr">
        <is>
          <t>V4.1</t>
        </is>
      </c>
      <c r="B4" s="22" t="inlineStr">
        <is>
          <t>Generic Web Service Security</t>
        </is>
      </c>
      <c r="C4" s="23" t="inlineStr">
        <is>
          <t>V4.1.2</t>
        </is>
      </c>
      <c r="D4" s="24"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20" t="n">
        <v>2</v>
      </c>
      <c r="F4" s="21" t="inlineStr">
        <is>
          <t>Not Started</t>
        </is>
      </c>
      <c r="G4" s="24" t="n"/>
      <c r="H4" s="24" t="n"/>
    </row>
    <row r="5" ht="30" customHeight="1" s="33">
      <c r="A5" s="17" t="inlineStr">
        <is>
          <t>V4.1</t>
        </is>
      </c>
      <c r="B5" s="17" t="inlineStr">
        <is>
          <t>Generic Web Service Security</t>
        </is>
      </c>
      <c r="C5" s="18" t="inlineStr">
        <is>
          <t>V4.1.3</t>
        </is>
      </c>
      <c r="D5" s="19"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20" t="n">
        <v>2</v>
      </c>
      <c r="F5" s="21" t="inlineStr">
        <is>
          <t>Not Started</t>
        </is>
      </c>
      <c r="G5" s="19" t="n"/>
      <c r="H5" s="19" t="n"/>
    </row>
    <row r="6" ht="30" customHeight="1" s="33">
      <c r="A6" s="22" t="inlineStr">
        <is>
          <t>V4.1</t>
        </is>
      </c>
      <c r="B6" s="22" t="inlineStr">
        <is>
          <t>Generic Web Service Security</t>
        </is>
      </c>
      <c r="C6" s="23" t="inlineStr">
        <is>
          <t>V4.1.4</t>
        </is>
      </c>
      <c r="D6" s="24" t="inlineStr">
        <is>
          <t>Verify that only HTTP methods that are explicitly supported by the application or its API (including OPTIONS during preflight requests) can be used and that unused methods are blocked.</t>
        </is>
      </c>
      <c r="E6" s="26" t="n">
        <v>3</v>
      </c>
      <c r="F6" s="21" t="inlineStr">
        <is>
          <t>Not Started</t>
        </is>
      </c>
      <c r="G6" s="24" t="inlineStr">
        <is>
          <t>[RF02] Configurar na API apenas os métodos HTTP usados pelo RF03. Os restantes devem retornar erro.</t>
        </is>
      </c>
      <c r="H6" s="24" t="n"/>
    </row>
    <row r="7" ht="30" customHeight="1" s="33">
      <c r="A7" s="17" t="inlineStr">
        <is>
          <t>V4.1</t>
        </is>
      </c>
      <c r="B7" s="17" t="inlineStr">
        <is>
          <t>Generic Web Service Security</t>
        </is>
      </c>
      <c r="C7" s="18" t="inlineStr">
        <is>
          <t>V4.1.5</t>
        </is>
      </c>
      <c r="D7" s="19" t="inlineStr">
        <is>
          <t>Verify that per-message digital signatures are used to provide additional assurance on top of transport protections for requests or transactions which are highly sensitive or which traverse a number of systems.</t>
        </is>
      </c>
      <c r="E7" s="26" t="n">
        <v>3</v>
      </c>
      <c r="F7" s="21" t="inlineStr">
        <is>
          <t>Not Started</t>
        </is>
      </c>
      <c r="G7" s="19" t="n"/>
      <c r="H7" s="19" t="n"/>
    </row>
    <row r="8" ht="18" customHeight="1" s="33">
      <c r="A8" s="16" t="inlineStr">
        <is>
          <t>V4.2</t>
        </is>
      </c>
      <c r="B8" s="16" t="inlineStr">
        <is>
          <t>HTTP Message Structure Validation</t>
        </is>
      </c>
      <c r="C8" s="16" t="n"/>
      <c r="D8" s="16" t="n"/>
      <c r="E8" s="16" t="n"/>
      <c r="F8" s="16" t="n"/>
      <c r="G8" s="16" t="n"/>
      <c r="H8" s="16" t="n"/>
    </row>
    <row r="9" ht="30" customHeight="1" s="33">
      <c r="A9" s="17" t="inlineStr">
        <is>
          <t>V4.2</t>
        </is>
      </c>
      <c r="B9" s="17" t="inlineStr">
        <is>
          <t>HTTP Message Structure Validation</t>
        </is>
      </c>
      <c r="C9" s="18" t="inlineStr">
        <is>
          <t>V4.2.1</t>
        </is>
      </c>
      <c r="D9" s="19"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20" t="n">
        <v>2</v>
      </c>
      <c r="F9" s="21" t="inlineStr">
        <is>
          <t>Not Started</t>
        </is>
      </c>
      <c r="G9" s="19" t="inlineStr">
        <is>
          <t>[RF02] Uploads multiparte de ficheiros grandes precisam de ser testados</t>
        </is>
      </c>
      <c r="H9" s="19" t="n"/>
    </row>
    <row r="10" ht="30" customHeight="1" s="33">
      <c r="A10" s="22" t="inlineStr">
        <is>
          <t>V4.2</t>
        </is>
      </c>
      <c r="B10" s="22" t="inlineStr">
        <is>
          <t>HTTP Message Structure Validation</t>
        </is>
      </c>
      <c r="C10" s="23" t="inlineStr">
        <is>
          <t>V4.2.2</t>
        </is>
      </c>
      <c r="D10" s="24" t="inlineStr">
        <is>
          <t>Verify that when generating HTTP messages, the Content-Length header field does not conflict with the length of the content as determined by the framing of the HTTP protocol, in order to prevent request smuggling attacks.</t>
        </is>
      </c>
      <c r="E10" s="26" t="n">
        <v>3</v>
      </c>
      <c r="F10" s="21" t="inlineStr">
        <is>
          <t>Not Started</t>
        </is>
      </c>
      <c r="G10" s="24" t="n"/>
      <c r="H10" s="24" t="n"/>
    </row>
    <row r="11" ht="30" customHeight="1" s="33">
      <c r="A11" s="17" t="inlineStr">
        <is>
          <t>V4.2</t>
        </is>
      </c>
      <c r="B11" s="17" t="inlineStr">
        <is>
          <t>HTTP Message Structure Validation</t>
        </is>
      </c>
      <c r="C11" s="18" t="inlineStr">
        <is>
          <t>V4.2.3</t>
        </is>
      </c>
      <c r="D11" s="19" t="inlineStr">
        <is>
          <t>Verify that the application does not send nor accept HTTP/2 or HTTP/3 messages with connection-specific header fields such as Transfer-Encoding to prevent response splitting and header injection attacks.</t>
        </is>
      </c>
      <c r="E11" s="26" t="n">
        <v>3</v>
      </c>
      <c r="F11" s="21" t="inlineStr">
        <is>
          <t>Not Started</t>
        </is>
      </c>
      <c r="G11" s="19" t="n"/>
      <c r="H11" s="19" t="n"/>
    </row>
    <row r="12" ht="30" customHeight="1" s="33">
      <c r="A12" s="22" t="inlineStr">
        <is>
          <t>V4.2</t>
        </is>
      </c>
      <c r="B12" s="22" t="inlineStr">
        <is>
          <t>HTTP Message Structure Validation</t>
        </is>
      </c>
      <c r="C12" s="23" t="inlineStr">
        <is>
          <t>V4.2.4</t>
        </is>
      </c>
      <c r="D12" s="24" t="inlineStr">
        <is>
          <t>Verify that the application only accepts HTTP/2 and HTTP/3 requests where the header fields and values do not contain any CR (\r), LF (\n), or CRLF (\r\n) sequences, to prevent header injection attacks.</t>
        </is>
      </c>
      <c r="E12" s="26" t="n">
        <v>3</v>
      </c>
      <c r="F12" s="21" t="inlineStr">
        <is>
          <t>Not Started</t>
        </is>
      </c>
      <c r="G12" s="24" t="n"/>
      <c r="H12" s="24" t="n"/>
    </row>
    <row r="13" ht="30" customHeight="1" s="33">
      <c r="A13" s="17" t="inlineStr">
        <is>
          <t>V4.2</t>
        </is>
      </c>
      <c r="B13" s="17" t="inlineStr">
        <is>
          <t>HTTP Message Structure Validation</t>
        </is>
      </c>
      <c r="C13" s="18" t="inlineStr">
        <is>
          <t>V4.2.5</t>
        </is>
      </c>
      <c r="D13" s="19"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26" t="n">
        <v>3</v>
      </c>
      <c r="F13" s="21" t="inlineStr">
        <is>
          <t>Not Started</t>
        </is>
      </c>
      <c r="G13" s="19" t="n"/>
      <c r="H13" s="19" t="n"/>
    </row>
    <row r="14" ht="18" customHeight="1" s="33">
      <c r="A14" s="16" t="inlineStr">
        <is>
          <t>V4.3</t>
        </is>
      </c>
      <c r="B14" s="16" t="inlineStr">
        <is>
          <t>GraphQL</t>
        </is>
      </c>
      <c r="C14" s="16" t="n"/>
      <c r="D14" s="16" t="n"/>
      <c r="E14" s="16" t="n"/>
      <c r="F14" s="16" t="n"/>
      <c r="G14" s="16" t="n"/>
      <c r="H14" s="16" t="n"/>
    </row>
    <row r="15" ht="30" customHeight="1" s="33">
      <c r="A15" s="17" t="inlineStr">
        <is>
          <t>V4.3</t>
        </is>
      </c>
      <c r="B15" s="17" t="inlineStr">
        <is>
          <t>GraphQL</t>
        </is>
      </c>
      <c r="C15" s="18" t="inlineStr">
        <is>
          <t>V4.3.1</t>
        </is>
      </c>
      <c r="D15" s="19" t="inlineStr">
        <is>
          <t>Verify that a query allowlist, depth limiting, amount limiting, or query cost analysis is used to prevent GraphQL or data layer expression Denial of Service (DoS) as a result of expensive, nested queries.</t>
        </is>
      </c>
      <c r="E15" s="20" t="n">
        <v>2</v>
      </c>
      <c r="F15" s="21" t="inlineStr">
        <is>
          <t>Not Started</t>
        </is>
      </c>
      <c r="G15" s="19" t="n"/>
      <c r="H15" s="19" t="n"/>
    </row>
    <row r="16" ht="30" customHeight="1" s="33">
      <c r="A16" s="22" t="inlineStr">
        <is>
          <t>V4.3</t>
        </is>
      </c>
      <c r="B16" s="22" t="inlineStr">
        <is>
          <t>GraphQL</t>
        </is>
      </c>
      <c r="C16" s="23" t="inlineStr">
        <is>
          <t>V4.3.2</t>
        </is>
      </c>
      <c r="D16" s="24" t="inlineStr">
        <is>
          <t>Verify that GraphQL introspection queries are disabled in the production environment unless the GraphQL API is meant to be used by other parties.</t>
        </is>
      </c>
      <c r="E16" s="20" t="n">
        <v>2</v>
      </c>
      <c r="F16" s="21" t="inlineStr">
        <is>
          <t>Not Started</t>
        </is>
      </c>
      <c r="G16" s="24" t="n"/>
      <c r="H16" s="24" t="n"/>
    </row>
    <row r="17" ht="18" customHeight="1" s="33">
      <c r="A17" s="16" t="inlineStr">
        <is>
          <t>V4.4</t>
        </is>
      </c>
      <c r="B17" s="16" t="inlineStr">
        <is>
          <t>WebSocket</t>
        </is>
      </c>
      <c r="C17" s="16" t="n"/>
      <c r="D17" s="16" t="n"/>
      <c r="E17" s="16" t="n"/>
      <c r="F17" s="16" t="n"/>
      <c r="G17" s="16" t="n"/>
      <c r="H17" s="16" t="n"/>
    </row>
    <row r="18" ht="30" customHeight="1" s="33">
      <c r="A18" s="17" t="inlineStr">
        <is>
          <t>V4.4</t>
        </is>
      </c>
      <c r="B18" s="17" t="inlineStr">
        <is>
          <t>WebSocket</t>
        </is>
      </c>
      <c r="C18" s="18" t="inlineStr">
        <is>
          <t>V4.4.1</t>
        </is>
      </c>
      <c r="D18" s="19" t="inlineStr">
        <is>
          <t>Verify that WebSocket over TLS (WSS) is used for all WebSocket connections.</t>
        </is>
      </c>
      <c r="E18" s="25" t="n">
        <v>1</v>
      </c>
      <c r="F18" s="21" t="inlineStr">
        <is>
          <t>Not Started</t>
        </is>
      </c>
      <c r="G18" s="19" t="n"/>
      <c r="H18" s="19" t="n"/>
    </row>
    <row r="19" ht="30" customHeight="1" s="33">
      <c r="A19" s="22" t="inlineStr">
        <is>
          <t>V4.4</t>
        </is>
      </c>
      <c r="B19" s="22" t="inlineStr">
        <is>
          <t>WebSocket</t>
        </is>
      </c>
      <c r="C19" s="23" t="inlineStr">
        <is>
          <t>V4.4.2</t>
        </is>
      </c>
      <c r="D19" s="24" t="inlineStr">
        <is>
          <t>Verify that, during the initial HTTP WebSocket handshake, the Origin header field is checked against a list of origins allowed for the application.</t>
        </is>
      </c>
      <c r="E19" s="20" t="n">
        <v>2</v>
      </c>
      <c r="F19" s="21" t="inlineStr">
        <is>
          <t>Not Started</t>
        </is>
      </c>
      <c r="G19" s="24" t="n"/>
      <c r="H19" s="24" t="n"/>
    </row>
    <row r="20" ht="30" customHeight="1" s="33">
      <c r="A20" s="17" t="inlineStr">
        <is>
          <t>V4.4</t>
        </is>
      </c>
      <c r="B20" s="17" t="inlineStr">
        <is>
          <t>WebSocket</t>
        </is>
      </c>
      <c r="C20" s="18" t="inlineStr">
        <is>
          <t>V4.4.3</t>
        </is>
      </c>
      <c r="D20" s="19" t="inlineStr">
        <is>
          <t>Verify that, if the application's standard session management cannot be used, dedicated tokens are being used for this, which comply with the relevant Session Management security requirements.</t>
        </is>
      </c>
      <c r="E20" s="20" t="n">
        <v>2</v>
      </c>
      <c r="F20" s="21" t="inlineStr">
        <is>
          <t>Not Started</t>
        </is>
      </c>
      <c r="G20" s="19" t="n"/>
      <c r="H20" s="19" t="n"/>
    </row>
    <row r="21" ht="30" customHeight="1" s="33">
      <c r="A21" s="22" t="inlineStr">
        <is>
          <t>V4.4</t>
        </is>
      </c>
      <c r="B21" s="22" t="inlineStr">
        <is>
          <t>WebSocket</t>
        </is>
      </c>
      <c r="C21" s="23" t="inlineStr">
        <is>
          <t>V4.4.4</t>
        </is>
      </c>
      <c r="D21" s="24" t="inlineStr">
        <is>
          <t>Verify that dedicated WebSocket session management tokens are initially obtained or validated through the previously authenticated HTTPS session when transitioning an existing HTTPS session to a WebSocket channel.</t>
        </is>
      </c>
      <c r="E21" s="20" t="n">
        <v>2</v>
      </c>
      <c r="F21" s="21" t="inlineStr">
        <is>
          <t>Not Started</t>
        </is>
      </c>
      <c r="G21" s="24" t="n"/>
      <c r="H21" s="24" t="n"/>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sheetPr>
    <outlinePr summaryBelow="1" summaryRight="1"/>
    <pageSetUpPr/>
  </sheetPr>
  <dimension ref="A1:H18"/>
  <sheetViews>
    <sheetView zoomScale="75" zoomScaleNormal="75" workbookViewId="0">
      <pane ySplit="1" topLeftCell="A2" activePane="bottomLeft" state="frozen"/>
      <selection pane="bottomLeft" activeCell="G18" sqref="G18"/>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V5.1</t>
        </is>
      </c>
      <c r="B2" s="16" t="inlineStr">
        <is>
          <t>File Handling Documentation</t>
        </is>
      </c>
      <c r="C2" s="16" t="n"/>
      <c r="D2" s="16" t="n"/>
      <c r="E2" s="16" t="n"/>
      <c r="F2" s="16" t="n"/>
      <c r="G2" s="16" t="n"/>
      <c r="H2" s="16" t="n"/>
    </row>
    <row r="3" ht="30" customHeight="1" s="33">
      <c r="A3" s="17" t="inlineStr">
        <is>
          <t>V5.1</t>
        </is>
      </c>
      <c r="B3" s="17" t="inlineStr">
        <is>
          <t>File Handling Documentation</t>
        </is>
      </c>
      <c r="C3" s="18" t="inlineStr">
        <is>
          <t>V5.1.1</t>
        </is>
      </c>
      <c r="D3" s="19"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20" t="n">
        <v>2</v>
      </c>
      <c r="F3" s="21" t="inlineStr">
        <is>
          <t>In Progress</t>
        </is>
      </c>
      <c r="G3" s="19" t="inlineStr">
        <is>
          <t>[RF02] O spec define PDF e DOCX como tipos permitidos e nome único por processo, mas não define tamanho máximo de ficheiro nem o que acontece quando um ficheiro malicioso é detetado. Ambos têm de ser adicionados à documentação.
[RF03] RF03: Documentado na especificação de requisitos: tipos PDF/DOCX, extensões .pdf/.docx, tamanho máx. 20MB. Comportamento definido para deteção de ficheiro malicioso (rejeição + log de auditoria).</t>
        </is>
      </c>
      <c r="H3" s="19" t="n"/>
    </row>
    <row r="4" ht="18" customHeight="1" s="33">
      <c r="A4" s="16" t="inlineStr">
        <is>
          <t>V5.2</t>
        </is>
      </c>
      <c r="B4" s="16" t="inlineStr">
        <is>
          <t>File Upload and Content</t>
        </is>
      </c>
      <c r="C4" s="16" t="n"/>
      <c r="D4" s="16" t="n"/>
      <c r="E4" s="16" t="n"/>
      <c r="F4" s="16" t="n"/>
      <c r="G4" s="16" t="n"/>
      <c r="H4" s="16" t="n"/>
    </row>
    <row r="5" ht="30" customHeight="1" s="33">
      <c r="A5" s="17" t="inlineStr">
        <is>
          <t>V5.2</t>
        </is>
      </c>
      <c r="B5" s="17" t="inlineStr">
        <is>
          <t>File Upload and Content</t>
        </is>
      </c>
      <c r="C5" s="18" t="inlineStr">
        <is>
          <t>V5.2.1</t>
        </is>
      </c>
      <c r="D5" s="19" t="inlineStr">
        <is>
          <t>Verify that the application will only accept files of a size which it can process without causing a loss of performance or a denial of service attack.</t>
        </is>
      </c>
      <c r="E5" s="25" t="n">
        <v>1</v>
      </c>
      <c r="F5" s="21" t="inlineStr">
        <is>
          <t>Not Started</t>
        </is>
      </c>
      <c r="G5" s="19" t="inlineStr">
        <is>
          <t>[RF02] Configurar o tamanho máximo do body HTTP
[RF03] RF03: O servidor .NET impõe limite de tamanho de 20MB por ficheiro antes de gravar no diretório do processo.</t>
        </is>
      </c>
      <c r="H5" s="19" t="n"/>
    </row>
    <row r="6" ht="30" customHeight="1" s="33">
      <c r="A6" s="22" t="inlineStr">
        <is>
          <t>V5.2</t>
        </is>
      </c>
      <c r="B6" s="22" t="inlineStr">
        <is>
          <t>File Upload and Content</t>
        </is>
      </c>
      <c r="C6" s="23" t="inlineStr">
        <is>
          <t>V5.2.2</t>
        </is>
      </c>
      <c r="D6" s="24"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25" t="n">
        <v>1</v>
      </c>
      <c r="F6" s="21" t="inlineStr">
        <is>
          <t>Not Started</t>
        </is>
      </c>
      <c r="G6" s="24" t="inlineStr">
        <is>
          <t>[RF02] O spec valida apenas a extensão. Além disso, verificar os magic bytes do ficheiro em .NET antes de guardar
[RF03] RF03: Validação de extensão (.pdf/.docx) implementada no serviço de upload antes da escrita em disco.</t>
        </is>
      </c>
      <c r="H6" s="24" t="n"/>
    </row>
    <row r="7" ht="30" customHeight="1" s="33">
      <c r="A7" s="17" t="inlineStr">
        <is>
          <t>V5.2</t>
        </is>
      </c>
      <c r="B7" s="17" t="inlineStr">
        <is>
          <t>File Upload and Content</t>
        </is>
      </c>
      <c r="C7" s="18" t="inlineStr">
        <is>
          <t>V5.2.3</t>
        </is>
      </c>
      <c r="D7" s="19" t="inlineStr">
        <is>
          <t>Verify that the application checks compressed files (e.g., zip, gz, docx, odt) against maximum allowed uncompressed size and against maximum number of files before uncompressing the file.</t>
        </is>
      </c>
      <c r="E7" s="20" t="n">
        <v>2</v>
      </c>
      <c r="F7" s="21" t="inlineStr">
        <is>
          <t>Not Started</t>
        </is>
      </c>
      <c r="G7" s="19" t="inlineStr">
        <is>
          <t>[RF02] Verificar o tamanho descomprimido antes de extrair para evitar zip-bomb.
[RF03] RF03: Ficheiros DOCX (zip internamente) são verificados quanto ao tamanho descomprimido (máx. 50MB) e número de entradas antes de processamento.</t>
        </is>
      </c>
      <c r="H7" s="19" t="n"/>
    </row>
    <row r="8" ht="30" customHeight="1" s="33">
      <c r="A8" s="22" t="inlineStr">
        <is>
          <t>V5.2</t>
        </is>
      </c>
      <c r="B8" s="22" t="inlineStr">
        <is>
          <t>File Upload and Content</t>
        </is>
      </c>
      <c r="C8" s="23" t="inlineStr">
        <is>
          <t>V5.2.4</t>
        </is>
      </c>
      <c r="D8" s="24" t="inlineStr">
        <is>
          <t>Verify that a file size quota and maximum number of files per user are enforced to ensure that a single user cannot fill up the storage with too many files, or excessively large files.</t>
        </is>
      </c>
      <c r="E8" s="26" t="n">
        <v>3</v>
      </c>
      <c r="F8" s="21" t="inlineStr">
        <is>
          <t>Not Started</t>
        </is>
      </c>
      <c r="G8" s="24" t="inlineStr">
        <is>
          <t>[RF02] Sem quota por utilizador ou por processo definido. Uitlizador pode sobrecarregar sistema e levar a DoS
[RF03] RF03: Quota por utilizador (máx. 500 ficheiros / 2GB por processo jurídico) prevista na arquitetura; implementação pendente de validação.</t>
        </is>
      </c>
      <c r="H8" s="24" t="n"/>
    </row>
    <row r="9" ht="30" customHeight="1" s="33">
      <c r="A9" s="17" t="inlineStr">
        <is>
          <t>V5.2</t>
        </is>
      </c>
      <c r="B9" s="17" t="inlineStr">
        <is>
          <t>File Upload and Content</t>
        </is>
      </c>
      <c r="C9" s="18" t="inlineStr">
        <is>
          <t>V5.2.5</t>
        </is>
      </c>
      <c r="D9" s="19" t="inlineStr">
        <is>
          <t>Verify that the application does not allow uploading compressed files containing symlinks unless this is specifically required (in which case it will be necessary to enforce an allowlist of the files that can be symlinked to).</t>
        </is>
      </c>
      <c r="E9" s="26" t="n">
        <v>3</v>
      </c>
      <c r="F9" s="21" t="inlineStr">
        <is>
          <t>Not Started</t>
        </is>
      </c>
      <c r="G9" s="19" t="inlineStr">
        <is>
          <t>[RF03] RF03: A aplicação não aceita ficheiros comprimidos com symlinks. Apenas PDF/DOCX são suportados.</t>
        </is>
      </c>
      <c r="H9" s="19" t="n"/>
    </row>
    <row r="10" ht="30" customHeight="1" s="33">
      <c r="A10" s="22" t="inlineStr">
        <is>
          <t>V5.2</t>
        </is>
      </c>
      <c r="B10" s="22" t="inlineStr">
        <is>
          <t>File Upload and Content</t>
        </is>
      </c>
      <c r="C10" s="23" t="inlineStr">
        <is>
          <t>V5.2.6</t>
        </is>
      </c>
      <c r="D10" s="24" t="inlineStr">
        <is>
          <t>Verify that the application rejects uploaded images with a pixel size larger than the maximum allowed, to prevent pixel flood attacks.</t>
        </is>
      </c>
      <c r="E10" s="26" t="n">
        <v>3</v>
      </c>
      <c r="F10" s="21" t="inlineStr">
        <is>
          <t>Not Started</t>
        </is>
      </c>
      <c r="G10" s="24" t="inlineStr">
        <is>
          <t>[RF03] RF03: A aplicação não processa imagens independentes; imagens embutidas em PDF/DOCX são tratadas pelos respetivos parsers.</t>
        </is>
      </c>
      <c r="H10" s="24" t="n"/>
    </row>
    <row r="11" ht="18" customHeight="1" s="33">
      <c r="A11" s="16" t="inlineStr">
        <is>
          <t>V5.3</t>
        </is>
      </c>
      <c r="B11" s="16" t="inlineStr">
        <is>
          <t>File Storage</t>
        </is>
      </c>
      <c r="C11" s="16" t="n"/>
      <c r="D11" s="16" t="n"/>
      <c r="E11" s="16" t="n"/>
      <c r="F11" s="16" t="n"/>
      <c r="G11" s="16" t="n"/>
      <c r="H11" s="16" t="n"/>
    </row>
    <row r="12" ht="30" customHeight="1" s="33">
      <c r="A12" s="17" t="inlineStr">
        <is>
          <t>V5.3</t>
        </is>
      </c>
      <c r="B12" s="17" t="inlineStr">
        <is>
          <t>File Storage</t>
        </is>
      </c>
      <c r="C12" s="18" t="inlineStr">
        <is>
          <t>V5.3.1</t>
        </is>
      </c>
      <c r="D12" s="19" t="inlineStr">
        <is>
          <t>Verify that files uploaded or generated by untrusted input and stored in a public folder, are not executed as server-side program code when accessed directly with an HTTP request.</t>
        </is>
      </c>
      <c r="E12" s="25" t="n">
        <v>1</v>
      </c>
      <c r="F12" s="21" t="inlineStr">
        <is>
          <t>Not Started</t>
        </is>
      </c>
      <c r="G12" s="19" t="inlineStr">
        <is>
          <t>[RF03] RF03: Os diretórios de processos estão fora da raiz web (wwwroot). O servidor serve ficheiros via stream controlado, nunca expondo a path real ao cliente.</t>
        </is>
      </c>
      <c r="H12" s="19" t="n"/>
    </row>
    <row r="13" ht="30" customHeight="1" s="33">
      <c r="A13" s="22" t="inlineStr">
        <is>
          <t>V5.3</t>
        </is>
      </c>
      <c r="B13" s="22" t="inlineStr">
        <is>
          <t>File Storage</t>
        </is>
      </c>
      <c r="C13" s="23" t="inlineStr">
        <is>
          <t>V5.3.2</t>
        </is>
      </c>
      <c r="D13" s="24"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25" t="n">
        <v>1</v>
      </c>
      <c r="F13" s="21" t="inlineStr">
        <is>
          <t>Not Started</t>
        </is>
      </c>
      <c r="G13" s="24" t="inlineStr">
        <is>
          <t>[RF03] RF03: Os caminhos de diretório são gerados internamente com base no ID do processo (GUID), nunca usando nomes submetidos pelo utilizador. Path.Combine() + GetFullPath() com verificação de prefixo para prevenir path traversal.</t>
        </is>
      </c>
      <c r="H13" s="24" t="n"/>
    </row>
    <row r="14" ht="30" customHeight="1" s="33">
      <c r="A14" s="17" t="inlineStr">
        <is>
          <t>V5.3</t>
        </is>
      </c>
      <c r="B14" s="17" t="inlineStr">
        <is>
          <t>File Storage</t>
        </is>
      </c>
      <c r="C14" s="18" t="inlineStr">
        <is>
          <t>V5.3.3</t>
        </is>
      </c>
      <c r="D14" s="19" t="inlineStr">
        <is>
          <t>Verify that server-side file processing, such as file decompression, ignores user-provided path information to prevent vulnerabilities such as zip slip.</t>
        </is>
      </c>
      <c r="E14" s="26" t="n">
        <v>3</v>
      </c>
      <c r="F14" s="21" t="inlineStr">
        <is>
          <t>Not Started</t>
        </is>
      </c>
      <c r="G14" s="19" t="inlineStr">
        <is>
          <t>[RF03] RF03: A descompressão de DOCX ignora a path interna dos ficheiros ZIP; extração usa nomes gerados internamente.</t>
        </is>
      </c>
      <c r="H14" s="19" t="n"/>
    </row>
    <row r="15" ht="18" customHeight="1" s="33">
      <c r="A15" s="16" t="inlineStr">
        <is>
          <t>V5.4</t>
        </is>
      </c>
      <c r="B15" s="16" t="inlineStr">
        <is>
          <t>File Download</t>
        </is>
      </c>
      <c r="C15" s="16" t="n"/>
      <c r="D15" s="16" t="n"/>
      <c r="E15" s="16" t="n"/>
      <c r="F15" s="16" t="n"/>
      <c r="G15" s="16" t="n"/>
      <c r="H15" s="16" t="n"/>
    </row>
    <row r="16" ht="30" customHeight="1" s="33">
      <c r="A16" s="17" t="inlineStr">
        <is>
          <t>V5.4</t>
        </is>
      </c>
      <c r="B16" s="17" t="inlineStr">
        <is>
          <t>File Download</t>
        </is>
      </c>
      <c r="C16" s="18" t="inlineStr">
        <is>
          <t>V5.4.1</t>
        </is>
      </c>
      <c r="D16" s="19" t="inlineStr">
        <is>
          <t>Verify that the application validates or ignores user-submitted filenames, including in a JSON, JSONP, or URL parameter and specifies a filename in the Content-Disposition header field in the response.</t>
        </is>
      </c>
      <c r="E16" s="20" t="n">
        <v>2</v>
      </c>
      <c r="F16" s="21" t="inlineStr">
        <is>
          <t>Not Started</t>
        </is>
      </c>
      <c r="G16" s="19" t="inlineStr">
        <is>
          <t>[RF02] O endpoint de download em ASP.NET Core tem de responder sempre com Content-Disposition: attachment com um nome controlado internamente. Qualquer nome de ficheiro enviado pelo utilizador no pedido tem de ser ignorado.
[RF03] RF03: No download, o Content-Disposition header é definido pelo servidor com nome sanitizado, ignorando qualquer parâmetro fornecido pelo cliente.</t>
        </is>
      </c>
      <c r="H16" s="19" t="n"/>
    </row>
    <row r="17" ht="30" customHeight="1" s="33">
      <c r="A17" s="22" t="inlineStr">
        <is>
          <t>V5.4</t>
        </is>
      </c>
      <c r="B17" s="22" t="inlineStr">
        <is>
          <t>File Download</t>
        </is>
      </c>
      <c r="C17" s="23" t="inlineStr">
        <is>
          <t>V5.4.2</t>
        </is>
      </c>
      <c r="D17" s="24" t="inlineStr">
        <is>
          <t>Verify that file names served (e.g., in HTTP response header fields or email attachments) are encoded or sanitized (e.g., following RFC 6266) to preserve document structure and prevent injection attacks.</t>
        </is>
      </c>
      <c r="E17" s="20" t="n">
        <v>2</v>
      </c>
      <c r="F17" s="21" t="inlineStr">
        <is>
          <t>Not Started</t>
        </is>
      </c>
      <c r="G17" s="24" t="inlineStr">
        <is>
          <t>[RF02] O nome do ficheiro no header tem de ser codificado corretamente para evitar injeção de headers via nomes maliciosos.
[RF03] RF03: Os nomes de ficheiro servidos são codificados em UTF-8 segundo RFC 6266 para prevenir header injection.</t>
        </is>
      </c>
      <c r="H17" s="24" t="n"/>
    </row>
    <row r="18" ht="30" customHeight="1" s="33">
      <c r="A18" s="17" t="inlineStr">
        <is>
          <t>V5.4</t>
        </is>
      </c>
      <c r="B18" s="17" t="inlineStr">
        <is>
          <t>File Download</t>
        </is>
      </c>
      <c r="C18" s="18" t="inlineStr">
        <is>
          <t>V5.4.3</t>
        </is>
      </c>
      <c r="D18" s="19" t="inlineStr">
        <is>
          <t>Verify that files obtained from untrusted sources are scanned by antivirus scanners to prevent serving of known malicious content.</t>
        </is>
      </c>
      <c r="E18" s="20" t="n">
        <v>2</v>
      </c>
      <c r="F18" s="21" t="inlineStr">
        <is>
          <t>Not Started</t>
        </is>
      </c>
      <c r="G18" s="19" t="inlineStr">
        <is>
          <t>[RF02] Os ficheiros devem ser analisados antes de ser guardados no SQL Server para evitar distribuir malware.
[RF03] RF03: Integração com antivírus (ClamAV ou Windows Defender API) prevista; scan assíncrono após upload antes de disponibilizar o ficheiro para download.</t>
        </is>
      </c>
      <c r="H18" s="19"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sheetPr>
    <outlinePr summaryBelow="1" summaryRight="1"/>
    <pageSetUpPr/>
  </sheetPr>
  <dimension ref="A1:H56"/>
  <sheetViews>
    <sheetView zoomScale="75" zoomScaleNormal="75" workbookViewId="0">
      <pane ySplit="1" topLeftCell="A3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V6.1</t>
        </is>
      </c>
      <c r="B2" s="16" t="inlineStr">
        <is>
          <t>Authentication Documentation</t>
        </is>
      </c>
      <c r="C2" s="16" t="n"/>
      <c r="D2" s="16" t="n"/>
      <c r="E2" s="16" t="n"/>
      <c r="F2" s="16" t="n"/>
      <c r="G2" s="16" t="n"/>
      <c r="H2" s="16" t="n"/>
    </row>
    <row r="3" ht="30" customHeight="1" s="33">
      <c r="A3" s="17" t="inlineStr">
        <is>
          <t>V6.1</t>
        </is>
      </c>
      <c r="B3" s="17" t="inlineStr">
        <is>
          <t>Authentication Documentation</t>
        </is>
      </c>
      <c r="C3" s="18" t="inlineStr">
        <is>
          <t>V6.1.1</t>
        </is>
      </c>
      <c r="D3" s="19"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25" t="n">
        <v>1</v>
      </c>
      <c r="F3" s="21" t="inlineStr">
        <is>
          <t>Not Started</t>
        </is>
      </c>
      <c r="G3" s="19" t="inlineStr">
        <is>
          <t>[RF01] RF01: Documentado em FURPS+ e Mitigations.md. Rate limiting + account lockout progressivo (bloqueio após 5 tentativas falhadas) para mitigar T1.1 (brute force / credential stuffing). Abuse case descrito em ThreatId.md (seção B).</t>
        </is>
      </c>
      <c r="H3" s="19" t="n"/>
    </row>
    <row r="4" ht="30" customHeight="1" s="33">
      <c r="A4" s="22" t="inlineStr">
        <is>
          <t>V6.1</t>
        </is>
      </c>
      <c r="B4" s="22" t="inlineStr">
        <is>
          <t>Authentication Documentation</t>
        </is>
      </c>
      <c r="C4" s="23" t="inlineStr">
        <is>
          <t>V6.1.2</t>
        </is>
      </c>
      <c r="D4" s="24" t="inlineStr">
        <is>
          <t>Verify that a list of context-specific words is documented in order to prevent their use in passwords. The list could include permutations of organization names, product names, system identifiers, project codenames, department or role names, and similar.</t>
        </is>
      </c>
      <c r="E4" s="20" t="n">
        <v>2</v>
      </c>
      <c r="F4" s="21" t="inlineStr">
        <is>
          <t>Not Started</t>
        </is>
      </c>
      <c r="G4" s="24" t="n"/>
      <c r="H4" s="24" t="n"/>
    </row>
    <row r="5" ht="30" customHeight="1" s="33">
      <c r="A5" s="17" t="inlineStr">
        <is>
          <t>V6.1</t>
        </is>
      </c>
      <c r="B5" s="17" t="inlineStr">
        <is>
          <t>Authentication Documentation</t>
        </is>
      </c>
      <c r="C5" s="18" t="inlineStr">
        <is>
          <t>V6.1.3</t>
        </is>
      </c>
      <c r="D5" s="19" t="inlineStr">
        <is>
          <t>Verify that, if the application includes multiple authentication pathways, these are all documented together with the security controls and authentication strength which must be consistently enforced across them.</t>
        </is>
      </c>
      <c r="E5" s="20" t="n">
        <v>2</v>
      </c>
      <c r="F5" s="21" t="inlineStr">
        <is>
          <t>Not Started</t>
        </is>
      </c>
      <c r="G5" s="19" t="n"/>
      <c r="H5" s="19" t="n"/>
    </row>
    <row r="6" ht="18" customHeight="1" s="33">
      <c r="A6" s="16" t="inlineStr">
        <is>
          <t>V6.2</t>
        </is>
      </c>
      <c r="B6" s="16" t="inlineStr">
        <is>
          <t>Password Security</t>
        </is>
      </c>
      <c r="C6" s="16" t="n"/>
      <c r="D6" s="16" t="n"/>
      <c r="E6" s="16" t="n"/>
      <c r="F6" s="16" t="n"/>
      <c r="G6" s="16" t="n"/>
      <c r="H6" s="16" t="n"/>
    </row>
    <row r="7" ht="30" customHeight="1" s="33">
      <c r="A7" s="17" t="inlineStr">
        <is>
          <t>V6.2</t>
        </is>
      </c>
      <c r="B7" s="17" t="inlineStr">
        <is>
          <t>Password Security</t>
        </is>
      </c>
      <c r="C7" s="18" t="inlineStr">
        <is>
          <t>V6.2.1</t>
        </is>
      </c>
      <c r="D7" s="19" t="inlineStr">
        <is>
          <t>Verify that user set passwords are at least 8 characters in length although a minimum of 15 characters is strongly recommended.</t>
        </is>
      </c>
      <c r="E7" s="25" t="n">
        <v>1</v>
      </c>
      <c r="F7" s="21" t="inlineStr">
        <is>
          <t>Not Started</t>
        </is>
      </c>
      <c r="G7" s="19" t="inlineStr">
        <is>
          <t>[RF01] RF01: Política de comprimento mínimo de password (&gt;=12 caracteres) documentada em FURPS+, cumprindo o requisito ASVS de &gt;=8. Validação server-side no endpoint de registo e alteração de password.
[RF03] RF01: Passwords mínimo de 12 caracteres enforced; recomendado 15+ na documentação.</t>
        </is>
      </c>
      <c r="H7" s="19" t="n"/>
    </row>
    <row r="8" ht="30" customHeight="1" s="33">
      <c r="A8" s="22" t="inlineStr">
        <is>
          <t>V6.2</t>
        </is>
      </c>
      <c r="B8" s="22" t="inlineStr">
        <is>
          <t>Password Security</t>
        </is>
      </c>
      <c r="C8" s="23" t="inlineStr">
        <is>
          <t>V6.2.2</t>
        </is>
      </c>
      <c r="D8" s="24" t="inlineStr">
        <is>
          <t>Verify that users can change their password.</t>
        </is>
      </c>
      <c r="E8" s="25" t="n">
        <v>1</v>
      </c>
      <c r="F8" s="21" t="inlineStr">
        <is>
          <t>Not Started</t>
        </is>
      </c>
      <c r="G8" s="24" t="inlineStr">
        <is>
          <t>[RF01] RF01: Endpoint autenticado de alteração de password implementado. Todos os roles (Advogado/Assistente/Cliente) podem alterar a própria password.
[RF03] RF01: Interface de alteração de password disponível para todos os papéis (Advogado, Assistente, Cliente).</t>
        </is>
      </c>
      <c r="H8" s="24" t="n"/>
    </row>
    <row r="9" ht="30" customHeight="1" s="33">
      <c r="A9" s="17" t="inlineStr">
        <is>
          <t>V6.2</t>
        </is>
      </c>
      <c r="B9" s="17" t="inlineStr">
        <is>
          <t>Password Security</t>
        </is>
      </c>
      <c r="C9" s="18" t="inlineStr">
        <is>
          <t>V6.2.3</t>
        </is>
      </c>
      <c r="D9" s="19" t="inlineStr">
        <is>
          <t>Verify that password change functionality requires the user's current and new password.</t>
        </is>
      </c>
      <c r="E9" s="25" t="n">
        <v>1</v>
      </c>
      <c r="F9" s="21" t="inlineStr">
        <is>
          <t>Not Started</t>
        </is>
      </c>
      <c r="G9" s="19" t="inlineStr">
        <is>
          <t>[RF01] RF01: Alteração de password requer current + new password no endpoint. Mitiga abuso por sessão comprometida.</t>
        </is>
      </c>
      <c r="H9" s="19" t="n"/>
    </row>
    <row r="10" ht="30" customHeight="1" s="33">
      <c r="A10" s="22" t="inlineStr">
        <is>
          <t>V6.2</t>
        </is>
      </c>
      <c r="B10" s="22" t="inlineStr">
        <is>
          <t>Password Security</t>
        </is>
      </c>
      <c r="C10" s="23" t="inlineStr">
        <is>
          <t>V6.2.4</t>
        </is>
      </c>
      <c r="D10" s="24" t="inlineStr">
        <is>
          <t>Verify that passwords submitted during account registration or password change are checked against an available set of, at least, the top 3000 passwords which match the application's password policy, e.g. minimum length.</t>
        </is>
      </c>
      <c r="E10" s="25" t="n">
        <v>1</v>
      </c>
      <c r="F10" s="21" t="inlineStr">
        <is>
          <t>Not Started</t>
        </is>
      </c>
      <c r="G10" s="24" t="inlineStr">
        <is>
          <t>[RF01] RF01: Previsto integrar verificação contra top 3000 passwords comuns (lista estática local) na Fase 2 Sprint 1. Planeado uso de biblioteca zxcvbn.net para estimativa de entropia.
[RF03] RF01: Novas passwords verificadas contra lista HIBP top-10000 adaptada ao contexto jurídico.</t>
        </is>
      </c>
      <c r="H10" s="24" t="n"/>
    </row>
    <row r="11" ht="30" customHeight="1" s="33">
      <c r="A11" s="17" t="inlineStr">
        <is>
          <t>V6.2</t>
        </is>
      </c>
      <c r="B11" s="17" t="inlineStr">
        <is>
          <t>Password Security</t>
        </is>
      </c>
      <c r="C11" s="18" t="inlineStr">
        <is>
          <t>V6.2.5</t>
        </is>
      </c>
      <c r="D11" s="19" t="inlineStr">
        <is>
          <t>Verify that passwords of any composition can be used, without rules limiting the type of characters permitted. There must be no requirement for a minimum number of upper or lower case characters, numbers, or special characters.</t>
        </is>
      </c>
      <c r="E11" s="25" t="n">
        <v>1</v>
      </c>
      <c r="F11" s="21" t="inlineStr">
        <is>
          <t>Not Started</t>
        </is>
      </c>
      <c r="G11" s="19" t="inlineStr">
        <is>
          <t>[RF01] RF01: Política de password permite qualquer combinação de caracteres, sem restrições de tipo obrigatório. Apenas comprimento mínimo é imposto (alinhado com NIST 800-63B).</t>
        </is>
      </c>
      <c r="H11" s="19" t="n"/>
    </row>
    <row r="12" ht="30" customHeight="1" s="33">
      <c r="A12" s="22" t="inlineStr">
        <is>
          <t>V6.2</t>
        </is>
      </c>
      <c r="B12" s="22" t="inlineStr">
        <is>
          <t>Password Security</t>
        </is>
      </c>
      <c r="C12" s="23" t="inlineStr">
        <is>
          <t>V6.2.6</t>
        </is>
      </c>
      <c r="D12" s="24" t="inlineStr">
        <is>
          <t>Verify that password input fields use type=password to mask the entry. Applications may allow the user to temporarily view the entire masked password, or the last typed character of the password.</t>
        </is>
      </c>
      <c r="E12" s="25" t="n">
        <v>1</v>
      </c>
      <c r="F12" s="21" t="inlineStr">
        <is>
          <t>Not Started</t>
        </is>
      </c>
      <c r="G12" s="24" t="inlineStr">
        <is>
          <t>[RF01] RF01: Sistema é back-end API (REST). Não renderiza frontend — masking de input de password é responsabilidade do cliente consumidor da API.</t>
        </is>
      </c>
      <c r="H12" s="24" t="n"/>
    </row>
    <row r="13" ht="30" customHeight="1" s="33">
      <c r="A13" s="17" t="inlineStr">
        <is>
          <t>V6.2</t>
        </is>
      </c>
      <c r="B13" s="17" t="inlineStr">
        <is>
          <t>Password Security</t>
        </is>
      </c>
      <c r="C13" s="18" t="inlineStr">
        <is>
          <t>V6.2.7</t>
        </is>
      </c>
      <c r="D13" s="19" t="inlineStr">
        <is>
          <t>Verify that "paste" functionality, browser password helpers, and external password managers are permitted.</t>
        </is>
      </c>
      <c r="E13" s="25" t="n">
        <v>1</v>
      </c>
      <c r="F13" s="21" t="inlineStr">
        <is>
          <t>Not Started</t>
        </is>
      </c>
      <c r="G13" s="19" t="inlineStr">
        <is>
          <t>[RF01] RF01: Sistema é back-end API. Paste e browser password managers são funcionalidades do frontend, fora do escopo do back-end.</t>
        </is>
      </c>
      <c r="H13" s="19" t="n"/>
    </row>
    <row r="14" ht="30" customHeight="1" s="33">
      <c r="A14" s="22" t="inlineStr">
        <is>
          <t>V6.2</t>
        </is>
      </c>
      <c r="B14" s="22" t="inlineStr">
        <is>
          <t>Password Security</t>
        </is>
      </c>
      <c r="C14" s="23" t="inlineStr">
        <is>
          <t>V6.2.8</t>
        </is>
      </c>
      <c r="D14" s="24" t="inlineStr">
        <is>
          <t>Verify that the application verifies the user's password exactly as received from the user, without any modifications such as truncation or case transformation.</t>
        </is>
      </c>
      <c r="E14" s="25" t="n">
        <v>1</v>
      </c>
      <c r="F14" s="21" t="inlineStr">
        <is>
          <t>Not Started</t>
        </is>
      </c>
      <c r="G14" s="24" t="inlineStr">
        <is>
          <t>[RF01] RF01: Password verificada exatamente como recebida — sem truncation, case transform ou normalização. ASP.NET Core + Argon2id preservam o input original.</t>
        </is>
      </c>
      <c r="H14" s="24" t="n"/>
    </row>
    <row r="15" ht="30" customHeight="1" s="33">
      <c r="A15" s="17" t="inlineStr">
        <is>
          <t>V6.2</t>
        </is>
      </c>
      <c r="B15" s="17" t="inlineStr">
        <is>
          <t>Password Security</t>
        </is>
      </c>
      <c r="C15" s="18" t="inlineStr">
        <is>
          <t>V6.2.9</t>
        </is>
      </c>
      <c r="D15" s="19" t="inlineStr">
        <is>
          <t>Verify that passwords of at least 64 characters are permitted.</t>
        </is>
      </c>
      <c r="E15" s="20" t="n">
        <v>2</v>
      </c>
      <c r="F15" s="21" t="inlineStr">
        <is>
          <t>Not Started</t>
        </is>
      </c>
      <c r="G15" s="19" t="n"/>
      <c r="H15" s="19" t="n"/>
    </row>
    <row r="16" ht="30" customHeight="1" s="33">
      <c r="A16" s="22" t="inlineStr">
        <is>
          <t>V6.2</t>
        </is>
      </c>
      <c r="B16" s="22" t="inlineStr">
        <is>
          <t>Password Security</t>
        </is>
      </c>
      <c r="C16" s="23" t="inlineStr">
        <is>
          <t>V6.2.10</t>
        </is>
      </c>
      <c r="D16" s="24" t="inlineStr">
        <is>
          <t>Verify that a user's password stays valid until it is discovered to be compromised or the user rotates it. The application must not require periodic credential rotation.</t>
        </is>
      </c>
      <c r="E16" s="20" t="n">
        <v>2</v>
      </c>
      <c r="F16" s="21" t="inlineStr">
        <is>
          <t>Not Started</t>
        </is>
      </c>
      <c r="G16" s="24" t="n"/>
      <c r="H16" s="24" t="n"/>
    </row>
    <row r="17" ht="30" customHeight="1" s="33">
      <c r="A17" s="17" t="inlineStr">
        <is>
          <t>V6.2</t>
        </is>
      </c>
      <c r="B17" s="17" t="inlineStr">
        <is>
          <t>Password Security</t>
        </is>
      </c>
      <c r="C17" s="18" t="inlineStr">
        <is>
          <t>V6.2.11</t>
        </is>
      </c>
      <c r="D17" s="19" t="inlineStr">
        <is>
          <t>Verify that the documented list of context specific words is used to prevent easy to guess passwords being created.</t>
        </is>
      </c>
      <c r="E17" s="20" t="n">
        <v>2</v>
      </c>
      <c r="F17" s="21" t="inlineStr">
        <is>
          <t>Not Started</t>
        </is>
      </c>
      <c r="G17" s="19" t="n"/>
      <c r="H17" s="19" t="n"/>
    </row>
    <row r="18" ht="30" customHeight="1" s="33">
      <c r="A18" s="22" t="inlineStr">
        <is>
          <t>V6.2</t>
        </is>
      </c>
      <c r="B18" s="22" t="inlineStr">
        <is>
          <t>Password Security</t>
        </is>
      </c>
      <c r="C18" s="23" t="inlineStr">
        <is>
          <t>V6.2.12</t>
        </is>
      </c>
      <c r="D18" s="24" t="inlineStr">
        <is>
          <t>Verify that passwords submitted during account registration or password changes are checked against a set of breached passwords.</t>
        </is>
      </c>
      <c r="E18" s="20" t="n">
        <v>2</v>
      </c>
      <c r="F18" s="21" t="inlineStr">
        <is>
          <t>Not Started</t>
        </is>
      </c>
      <c r="G18" s="24" t="n"/>
      <c r="H18" s="24" t="n"/>
    </row>
    <row r="19" ht="18" customHeight="1" s="33">
      <c r="A19" s="16" t="inlineStr">
        <is>
          <t>V6.3</t>
        </is>
      </c>
      <c r="B19" s="16" t="inlineStr">
        <is>
          <t>General Authentication Security</t>
        </is>
      </c>
      <c r="C19" s="16" t="n"/>
      <c r="D19" s="16" t="n"/>
      <c r="E19" s="16" t="n"/>
      <c r="F19" s="16" t="n"/>
      <c r="G19" s="16" t="n"/>
      <c r="H19" s="16" t="n"/>
    </row>
    <row r="20" ht="30" customHeight="1" s="33">
      <c r="A20" s="17" t="inlineStr">
        <is>
          <t>V6.3</t>
        </is>
      </c>
      <c r="B20" s="17" t="inlineStr">
        <is>
          <t>General Authentication Security</t>
        </is>
      </c>
      <c r="C20" s="18" t="inlineStr">
        <is>
          <t>V6.3.1</t>
        </is>
      </c>
      <c r="D20" s="19" t="inlineStr">
        <is>
          <t>Verify that controls to prevent attacks such as credential stuffing and password brute force are implemented according to the application's security documentation.</t>
        </is>
      </c>
      <c r="E20" s="25" t="n">
        <v>1</v>
      </c>
      <c r="F20" s="21" t="inlineStr">
        <is>
          <t>Not Started</t>
        </is>
      </c>
      <c r="G20" s="19" t="inlineStr">
        <is>
          <t>[RF01] RF01: Rate limiting implementado via middleware Microsoft.AspNetCore.RateLimiting (sliding window) por IP e por conta. Account lockout progressivo após 5 tentativas falhadas. Mitigação primária de T1.1 (Mitigations.md).
[RF03] RF01: Rate limiting de 5 tentativas/minuto por IP e por conta; bloqueio temporário progressivo (5min, 30min, 24h).</t>
        </is>
      </c>
      <c r="H20" s="19" t="n"/>
    </row>
    <row r="21" ht="30" customHeight="1" s="33">
      <c r="A21" s="22" t="inlineStr">
        <is>
          <t>V6.3</t>
        </is>
      </c>
      <c r="B21" s="22" t="inlineStr">
        <is>
          <t>General Authentication Security</t>
        </is>
      </c>
      <c r="C21" s="23" t="inlineStr">
        <is>
          <t>V6.3.2</t>
        </is>
      </c>
      <c r="D21" s="24" t="inlineStr">
        <is>
          <t>Verify that default user accounts (e.g., "root", "admin", or "sa") are not present in the application or are disabled.</t>
        </is>
      </c>
      <c r="E21" s="25" t="n">
        <v>1</v>
      </c>
      <c r="F21" s="21" t="inlineStr">
        <is>
          <t>Not Started</t>
        </is>
      </c>
      <c r="G21" s="24" t="inlineStr">
        <is>
          <t>[RF01] RF01: Não existem contas default (root/admin/sa). Primeiro utilizador administrativo criado via seed script controlado, com credenciais únicas obrigatoriamente alteradas no primeiro login.</t>
        </is>
      </c>
      <c r="H21" s="24" t="n"/>
    </row>
    <row r="22" ht="30" customHeight="1" s="33">
      <c r="A22" s="17" t="inlineStr">
        <is>
          <t>V6.3</t>
        </is>
      </c>
      <c r="B22" s="17" t="inlineStr">
        <is>
          <t>General Authentication Security</t>
        </is>
      </c>
      <c r="C22" s="18" t="inlineStr">
        <is>
          <t>V6.3.3</t>
        </is>
      </c>
      <c r="D22" s="19"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20" t="n">
        <v>2</v>
      </c>
      <c r="F22" s="21" t="inlineStr">
        <is>
          <t>Not Started</t>
        </is>
      </c>
      <c r="G22" s="19" t="n"/>
      <c r="H22" s="19" t="n"/>
    </row>
    <row r="23" ht="30" customHeight="1" s="33">
      <c r="A23" s="22" t="inlineStr">
        <is>
          <t>V6.3</t>
        </is>
      </c>
      <c r="B23" s="22" t="inlineStr">
        <is>
          <t>General Authentication Security</t>
        </is>
      </c>
      <c r="C23" s="23" t="inlineStr">
        <is>
          <t>V6.3.4</t>
        </is>
      </c>
      <c r="D23" s="24" t="inlineStr">
        <is>
          <t>Verify that, if the application includes multiple authentication pathways, there are no undocumented pathways and that security controls and authentication strength are enforced consistently.</t>
        </is>
      </c>
      <c r="E23" s="20" t="n">
        <v>2</v>
      </c>
      <c r="F23" s="21" t="inlineStr">
        <is>
          <t>Not Started</t>
        </is>
      </c>
      <c r="G23" s="24" t="n"/>
      <c r="H23" s="24" t="n"/>
    </row>
    <row r="24" ht="30" customHeight="1" s="33">
      <c r="A24" s="17" t="inlineStr">
        <is>
          <t>V6.3</t>
        </is>
      </c>
      <c r="B24" s="17" t="inlineStr">
        <is>
          <t>General Authentication Security</t>
        </is>
      </c>
      <c r="C24" s="18" t="inlineStr">
        <is>
          <t>V6.3.5</t>
        </is>
      </c>
      <c r="D24" s="19"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26" t="n">
        <v>3</v>
      </c>
      <c r="F24" s="21" t="inlineStr">
        <is>
          <t>Not Started</t>
        </is>
      </c>
      <c r="G24" s="19" t="n"/>
      <c r="H24" s="19" t="n"/>
    </row>
    <row r="25" ht="30" customHeight="1" s="33">
      <c r="A25" s="22" t="inlineStr">
        <is>
          <t>V6.3</t>
        </is>
      </c>
      <c r="B25" s="22" t="inlineStr">
        <is>
          <t>General Authentication Security</t>
        </is>
      </c>
      <c r="C25" s="23" t="inlineStr">
        <is>
          <t>V6.3.6</t>
        </is>
      </c>
      <c r="D25" s="24" t="inlineStr">
        <is>
          <t>Verify that email is not used as either a single-factor or multi-factor authentication mechanism.</t>
        </is>
      </c>
      <c r="E25" s="26" t="n">
        <v>3</v>
      </c>
      <c r="F25" s="21" t="inlineStr">
        <is>
          <t>Not Started</t>
        </is>
      </c>
      <c r="G25" s="24" t="n"/>
      <c r="H25" s="24" t="n"/>
    </row>
    <row r="26" ht="30" customHeight="1" s="33">
      <c r="A26" s="17" t="inlineStr">
        <is>
          <t>V6.3</t>
        </is>
      </c>
      <c r="B26" s="17" t="inlineStr">
        <is>
          <t>General Authentication Security</t>
        </is>
      </c>
      <c r="C26" s="18" t="inlineStr">
        <is>
          <t>V6.3.7</t>
        </is>
      </c>
      <c r="D26" s="19" t="inlineStr">
        <is>
          <t>Verify that users are notified after updates to authentication details, such as credential resets or modification of the username or email address.</t>
        </is>
      </c>
      <c r="E26" s="26" t="n">
        <v>3</v>
      </c>
      <c r="F26" s="21" t="inlineStr">
        <is>
          <t>Not Started</t>
        </is>
      </c>
      <c r="G26" s="19" t="n"/>
      <c r="H26" s="19" t="n"/>
    </row>
    <row r="27" ht="30" customHeight="1" s="33">
      <c r="A27" s="22" t="inlineStr">
        <is>
          <t>V6.3</t>
        </is>
      </c>
      <c r="B27" s="22" t="inlineStr">
        <is>
          <t>General Authentication Security</t>
        </is>
      </c>
      <c r="C27" s="23" t="inlineStr">
        <is>
          <t>V6.3.8</t>
        </is>
      </c>
      <c r="D27" s="24" t="inlineStr">
        <is>
          <t>Verify that valid users cannot be deduced from failed authentication challenges, such as by basing on error messages, HTTP response codes, or different response times. Registration and forgot password functionality must also have this protection.</t>
        </is>
      </c>
      <c r="E27" s="26" t="n">
        <v>3</v>
      </c>
      <c r="F27" s="21" t="inlineStr">
        <is>
          <t>Not Started</t>
        </is>
      </c>
      <c r="G27" s="24" t="inlineStr">
        <is>
          <t>[RF01] RF01: Mensagem genérica "Credenciais inválidas" retornada em qualquer falha de login (não distingue email inexistente vs password errada). Código HTTP 401 uniforme. Timing-safe comparison para evitar user enumeration via timing attack. Regra de negócio explícita do FURPS+.</t>
        </is>
      </c>
      <c r="H27" s="24" t="n"/>
    </row>
    <row r="28" ht="18" customHeight="1" s="33">
      <c r="A28" s="16" t="inlineStr">
        <is>
          <t>V6.4</t>
        </is>
      </c>
      <c r="B28" s="16" t="inlineStr">
        <is>
          <t>Authentication Factor Lifecycle and Recovery</t>
        </is>
      </c>
      <c r="C28" s="16" t="n"/>
      <c r="D28" s="16" t="n"/>
      <c r="E28" s="16" t="n"/>
      <c r="F28" s="16" t="n"/>
      <c r="G28" s="16" t="n"/>
      <c r="H28" s="16" t="n"/>
    </row>
    <row r="29" ht="30" customHeight="1" s="33">
      <c r="A29" s="17" t="inlineStr">
        <is>
          <t>V6.4</t>
        </is>
      </c>
      <c r="B29" s="17" t="inlineStr">
        <is>
          <t>Authentication Factor Lifecycle and Recovery</t>
        </is>
      </c>
      <c r="C29" s="18" t="inlineStr">
        <is>
          <t>V6.4.1</t>
        </is>
      </c>
      <c r="D29" s="19"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25" t="n">
        <v>1</v>
      </c>
      <c r="F29" s="21" t="inlineStr">
        <is>
          <t>Not Started</t>
        </is>
      </c>
      <c r="G29" s="19" t="inlineStr">
        <is>
          <t>[RF01] RF01: Passwords iniciais (para utilizadores criados por admin) geradas via CSPRNG (System.Security.Cryptography.RandomNumberGenerator). Expiram após primeiro uso e forçam alteração obrigatória.</t>
        </is>
      </c>
      <c r="H29" s="19" t="n"/>
    </row>
    <row r="30" ht="30" customHeight="1" s="33">
      <c r="A30" s="22" t="inlineStr">
        <is>
          <t>V6.4</t>
        </is>
      </c>
      <c r="B30" s="22" t="inlineStr">
        <is>
          <t>Authentication Factor Lifecycle and Recovery</t>
        </is>
      </c>
      <c r="C30" s="23" t="inlineStr">
        <is>
          <t>V6.4.2</t>
        </is>
      </c>
      <c r="D30" s="24" t="inlineStr">
        <is>
          <t>Verify that password hints or knowledge-based authentication (so-called "secret questions") are not present.</t>
        </is>
      </c>
      <c r="E30" s="25" t="n">
        <v>1</v>
      </c>
      <c r="F30" s="21" t="inlineStr">
        <is>
          <t>Not Started</t>
        </is>
      </c>
      <c r="G30" s="24" t="inlineStr">
        <is>
          <t>[RF01] RF01: Sistema não implementa password hints nem perguntas de segurança (KBA). Reset de password é feito exclusivamente via token enviado por email com lifetime curto.</t>
        </is>
      </c>
      <c r="H30" s="24" t="n"/>
    </row>
    <row r="31" ht="30" customHeight="1" s="33">
      <c r="A31" s="17" t="inlineStr">
        <is>
          <t>V6.4</t>
        </is>
      </c>
      <c r="B31" s="17" t="inlineStr">
        <is>
          <t>Authentication Factor Lifecycle and Recovery</t>
        </is>
      </c>
      <c r="C31" s="18" t="inlineStr">
        <is>
          <t>V6.4.3</t>
        </is>
      </c>
      <c r="D31" s="19" t="inlineStr">
        <is>
          <t>Verify that a secure process for resetting a forgotten password is implemented, that does not bypass any enabled multi-factor authentication mechanisms.</t>
        </is>
      </c>
      <c r="E31" s="20" t="n">
        <v>2</v>
      </c>
      <c r="F31" s="21" t="inlineStr">
        <is>
          <t>Not Started</t>
        </is>
      </c>
      <c r="G31" s="19" t="n"/>
      <c r="H31" s="19" t="n"/>
    </row>
    <row r="32" ht="30" customHeight="1" s="33">
      <c r="A32" s="22" t="inlineStr">
        <is>
          <t>V6.4</t>
        </is>
      </c>
      <c r="B32" s="22" t="inlineStr">
        <is>
          <t>Authentication Factor Lifecycle and Recovery</t>
        </is>
      </c>
      <c r="C32" s="23" t="inlineStr">
        <is>
          <t>V6.4.4</t>
        </is>
      </c>
      <c r="D32" s="24" t="inlineStr">
        <is>
          <t>Verify that if a multi-factor authentication factor is lost, evidence of identity proofing is performed at the same level as during enrollment.</t>
        </is>
      </c>
      <c r="E32" s="20" t="n">
        <v>2</v>
      </c>
      <c r="F32" s="21" t="inlineStr">
        <is>
          <t>Not Started</t>
        </is>
      </c>
      <c r="G32" s="24" t="n"/>
      <c r="H32" s="24" t="n"/>
    </row>
    <row r="33" ht="30" customHeight="1" s="33">
      <c r="A33" s="17" t="inlineStr">
        <is>
          <t>V6.4</t>
        </is>
      </c>
      <c r="B33" s="17" t="inlineStr">
        <is>
          <t>Authentication Factor Lifecycle and Recovery</t>
        </is>
      </c>
      <c r="C33" s="18" t="inlineStr">
        <is>
          <t>V6.4.5</t>
        </is>
      </c>
      <c r="D33" s="19" t="inlineStr">
        <is>
          <t>Verify that renewal instructions for authentication mechanisms which expire are sent with enough time to be carried out before the old authentication mechanism expires, configuring automated reminders if necessary.</t>
        </is>
      </c>
      <c r="E33" s="26" t="n">
        <v>3</v>
      </c>
      <c r="F33" s="21" t="inlineStr">
        <is>
          <t>Not Started</t>
        </is>
      </c>
      <c r="G33" s="19" t="n"/>
      <c r="H33" s="19" t="n"/>
    </row>
    <row r="34" ht="30" customHeight="1" s="33">
      <c r="A34" s="22" t="inlineStr">
        <is>
          <t>V6.4</t>
        </is>
      </c>
      <c r="B34" s="22" t="inlineStr">
        <is>
          <t>Authentication Factor Lifecycle and Recovery</t>
        </is>
      </c>
      <c r="C34" s="23" t="inlineStr">
        <is>
          <t>V6.4.6</t>
        </is>
      </c>
      <c r="D34" s="24" t="inlineStr">
        <is>
          <t>Verify that administrative users can initiate the password reset process for the user, but that this does not allow them to change or choose the user's password. This prevents a situation where they know the user's password.</t>
        </is>
      </c>
      <c r="E34" s="26" t="n">
        <v>3</v>
      </c>
      <c r="F34" s="21" t="inlineStr">
        <is>
          <t>Not Started</t>
        </is>
      </c>
      <c r="G34" s="24" t="n"/>
      <c r="H34" s="24" t="n"/>
    </row>
    <row r="35" ht="18" customHeight="1" s="33">
      <c r="A35" s="16" t="inlineStr">
        <is>
          <t>V6.5</t>
        </is>
      </c>
      <c r="B35" s="16" t="inlineStr">
        <is>
          <t>General Multi-factor authentication requirements</t>
        </is>
      </c>
      <c r="C35" s="16" t="n"/>
      <c r="D35" s="16" t="n"/>
      <c r="E35" s="16" t="n"/>
      <c r="F35" s="16" t="n"/>
      <c r="G35" s="16" t="n"/>
      <c r="H35" s="16" t="n"/>
    </row>
    <row r="36" ht="30" customHeight="1" s="33">
      <c r="A36" s="17" t="inlineStr">
        <is>
          <t>V6.5</t>
        </is>
      </c>
      <c r="B36" s="17" t="inlineStr">
        <is>
          <t>General Multi-factor authentication requirements</t>
        </is>
      </c>
      <c r="C36" s="18" t="inlineStr">
        <is>
          <t>V6.5.1</t>
        </is>
      </c>
      <c r="D36" s="19" t="inlineStr">
        <is>
          <t>Verify that lookup secrets, out-of-band authentication requests or codes, and time-based one-time passwords (TOTPs) are only successfully usable once.</t>
        </is>
      </c>
      <c r="E36" s="20" t="n">
        <v>2</v>
      </c>
      <c r="F36" s="21" t="inlineStr">
        <is>
          <t>Not Started</t>
        </is>
      </c>
      <c r="G36" s="19" t="n"/>
      <c r="H36" s="19" t="n"/>
    </row>
    <row r="37" ht="30" customHeight="1" s="33">
      <c r="A37" s="22" t="inlineStr">
        <is>
          <t>V6.5</t>
        </is>
      </c>
      <c r="B37" s="22" t="inlineStr">
        <is>
          <t>General Multi-factor authentication requirements</t>
        </is>
      </c>
      <c r="C37" s="23" t="inlineStr">
        <is>
          <t>V6.5.2</t>
        </is>
      </c>
      <c r="D37" s="24"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20" t="n">
        <v>2</v>
      </c>
      <c r="F37" s="21" t="inlineStr">
        <is>
          <t>Not Started</t>
        </is>
      </c>
      <c r="G37" s="24" t="n"/>
      <c r="H37" s="24" t="n"/>
    </row>
    <row r="38" ht="30" customHeight="1" s="33">
      <c r="A38" s="17" t="inlineStr">
        <is>
          <t>V6.5</t>
        </is>
      </c>
      <c r="B38" s="17" t="inlineStr">
        <is>
          <t>General Multi-factor authentication requirements</t>
        </is>
      </c>
      <c r="C38" s="18" t="inlineStr">
        <is>
          <t>V6.5.3</t>
        </is>
      </c>
      <c r="D38" s="19" t="inlineStr">
        <is>
          <t>Verify that lookup secrets, out-of-band authentication code, and time-based one-time password seeds, are generated using a Cryptographically Secure Pseudorandom Number Generator (CSPRNG) to avoid predictable values.</t>
        </is>
      </c>
      <c r="E38" s="20" t="n">
        <v>2</v>
      </c>
      <c r="F38" s="21" t="inlineStr">
        <is>
          <t>Not Started</t>
        </is>
      </c>
      <c r="G38" s="19" t="n"/>
      <c r="H38" s="19" t="n"/>
    </row>
    <row r="39" ht="30" customHeight="1" s="33">
      <c r="A39" s="22" t="inlineStr">
        <is>
          <t>V6.5</t>
        </is>
      </c>
      <c r="B39" s="22" t="inlineStr">
        <is>
          <t>General Multi-factor authentication requirements</t>
        </is>
      </c>
      <c r="C39" s="23" t="inlineStr">
        <is>
          <t>V6.5.4</t>
        </is>
      </c>
      <c r="D39" s="24" t="inlineStr">
        <is>
          <t>Verify that lookup secrets and out-of-band authentication codes have a minimum of 20 bits of entropy (typically 4 random alphanumeric characters or 6 random digits is sufficient).</t>
        </is>
      </c>
      <c r="E39" s="20" t="n">
        <v>2</v>
      </c>
      <c r="F39" s="21" t="inlineStr">
        <is>
          <t>Not Started</t>
        </is>
      </c>
      <c r="G39" s="24" t="n"/>
      <c r="H39" s="24" t="n"/>
    </row>
    <row r="40" ht="30" customHeight="1" s="33">
      <c r="A40" s="17" t="inlineStr">
        <is>
          <t>V6.5</t>
        </is>
      </c>
      <c r="B40" s="17" t="inlineStr">
        <is>
          <t>General Multi-factor authentication requirements</t>
        </is>
      </c>
      <c r="C40" s="18" t="inlineStr">
        <is>
          <t>V6.5.5</t>
        </is>
      </c>
      <c r="D40" s="19" t="inlineStr">
        <is>
          <t>Verify that out-of-band authentication requests, codes, or tokens, as well as time-based one-time passwords (TOTPs) have a defined lifetime. Out of band requests must have a maximum lifetime of 10 minutes and for TOTP a maximum lifetime of 30 seconds.</t>
        </is>
      </c>
      <c r="E40" s="20" t="n">
        <v>2</v>
      </c>
      <c r="F40" s="21" t="inlineStr">
        <is>
          <t>Not Started</t>
        </is>
      </c>
      <c r="G40" s="19" t="n"/>
      <c r="H40" s="19" t="n"/>
    </row>
    <row r="41" ht="30" customHeight="1" s="33">
      <c r="A41" s="22" t="inlineStr">
        <is>
          <t>V6.5</t>
        </is>
      </c>
      <c r="B41" s="22" t="inlineStr">
        <is>
          <t>General Multi-factor authentication requirements</t>
        </is>
      </c>
      <c r="C41" s="23" t="inlineStr">
        <is>
          <t>V6.5.6</t>
        </is>
      </c>
      <c r="D41" s="24" t="inlineStr">
        <is>
          <t>Verify that any authentication factor (including physical devices) can be revoked in case of theft or other loss.</t>
        </is>
      </c>
      <c r="E41" s="26" t="n">
        <v>3</v>
      </c>
      <c r="F41" s="21" t="inlineStr">
        <is>
          <t>Not Started</t>
        </is>
      </c>
      <c r="G41" s="24" t="n"/>
      <c r="H41" s="24" t="n"/>
    </row>
    <row r="42" ht="30" customHeight="1" s="33">
      <c r="A42" s="17" t="inlineStr">
        <is>
          <t>V6.5</t>
        </is>
      </c>
      <c r="B42" s="17" t="inlineStr">
        <is>
          <t>General Multi-factor authentication requirements</t>
        </is>
      </c>
      <c r="C42" s="18" t="inlineStr">
        <is>
          <t>V6.5.7</t>
        </is>
      </c>
      <c r="D42" s="19" t="inlineStr">
        <is>
          <t>Verify that biometric authentication mechanisms are only used as secondary factors together with either something you have or something you know.</t>
        </is>
      </c>
      <c r="E42" s="26" t="n">
        <v>3</v>
      </c>
      <c r="F42" s="21" t="inlineStr">
        <is>
          <t>Not Started</t>
        </is>
      </c>
      <c r="G42" s="19" t="n"/>
      <c r="H42" s="19" t="n"/>
    </row>
    <row r="43" ht="30" customHeight="1" s="33">
      <c r="A43" s="22" t="inlineStr">
        <is>
          <t>V6.5</t>
        </is>
      </c>
      <c r="B43" s="22" t="inlineStr">
        <is>
          <t>General Multi-factor authentication requirements</t>
        </is>
      </c>
      <c r="C43" s="23" t="inlineStr">
        <is>
          <t>V6.5.8</t>
        </is>
      </c>
      <c r="D43" s="24" t="inlineStr">
        <is>
          <t>Verify that time-based one-time passwords (TOTPs) are checked based on a time source from a trusted service and not from an untrusted or client provided time.</t>
        </is>
      </c>
      <c r="E43" s="26" t="n">
        <v>3</v>
      </c>
      <c r="F43" s="21" t="inlineStr">
        <is>
          <t>Not Started</t>
        </is>
      </c>
      <c r="G43" s="24" t="n"/>
      <c r="H43" s="24" t="n"/>
    </row>
    <row r="44" ht="18" customHeight="1" s="33">
      <c r="A44" s="16" t="inlineStr">
        <is>
          <t>V6.6</t>
        </is>
      </c>
      <c r="B44" s="16" t="inlineStr">
        <is>
          <t>Out-of-Band authentication mechanisms</t>
        </is>
      </c>
      <c r="C44" s="16" t="n"/>
      <c r="D44" s="16" t="n"/>
      <c r="E44" s="16" t="n"/>
      <c r="F44" s="16" t="n"/>
      <c r="G44" s="16" t="n"/>
      <c r="H44" s="16" t="n"/>
    </row>
    <row r="45" ht="30" customHeight="1" s="33">
      <c r="A45" s="17" t="inlineStr">
        <is>
          <t>V6.6</t>
        </is>
      </c>
      <c r="B45" s="17" t="inlineStr">
        <is>
          <t>Out-of-Band authentication mechanisms</t>
        </is>
      </c>
      <c r="C45" s="18" t="inlineStr">
        <is>
          <t>V6.6.1</t>
        </is>
      </c>
      <c r="D45" s="19"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20" t="n">
        <v>2</v>
      </c>
      <c r="F45" s="21" t="inlineStr">
        <is>
          <t>Not Started</t>
        </is>
      </c>
      <c r="G45" s="19" t="n"/>
      <c r="H45" s="19" t="n"/>
    </row>
    <row r="46" ht="30" customHeight="1" s="33">
      <c r="A46" s="22" t="inlineStr">
        <is>
          <t>V6.6</t>
        </is>
      </c>
      <c r="B46" s="22" t="inlineStr">
        <is>
          <t>Out-of-Band authentication mechanisms</t>
        </is>
      </c>
      <c r="C46" s="23" t="inlineStr">
        <is>
          <t>V6.6.2</t>
        </is>
      </c>
      <c r="D46" s="24" t="inlineStr">
        <is>
          <t>Verify that out-of-band authentication requests, codes, or tokens are bound to the original authentication request for which they were generated and are not usable for a previous or subsequent one.</t>
        </is>
      </c>
      <c r="E46" s="20" t="n">
        <v>2</v>
      </c>
      <c r="F46" s="21" t="inlineStr">
        <is>
          <t>Not Started</t>
        </is>
      </c>
      <c r="G46" s="24" t="n"/>
      <c r="H46" s="24" t="n"/>
    </row>
    <row r="47" ht="30" customHeight="1" s="33">
      <c r="A47" s="17" t="inlineStr">
        <is>
          <t>V6.6</t>
        </is>
      </c>
      <c r="B47" s="17" t="inlineStr">
        <is>
          <t>Out-of-Band authentication mechanisms</t>
        </is>
      </c>
      <c r="C47" s="18" t="inlineStr">
        <is>
          <t>V6.6.3</t>
        </is>
      </c>
      <c r="D47" s="19" t="inlineStr">
        <is>
          <t>Verify that a code based out-of-band authentication mechanism is protected against brute force attacks by using rate limiting. Consider also using a code with at least 64 bits of entropy.</t>
        </is>
      </c>
      <c r="E47" s="20" t="n">
        <v>2</v>
      </c>
      <c r="F47" s="21" t="inlineStr">
        <is>
          <t>Not Started</t>
        </is>
      </c>
      <c r="G47" s="19" t="n"/>
      <c r="H47" s="19" t="n"/>
    </row>
    <row r="48" ht="30" customHeight="1" s="33">
      <c r="A48" s="22" t="inlineStr">
        <is>
          <t>V6.6</t>
        </is>
      </c>
      <c r="B48" s="22" t="inlineStr">
        <is>
          <t>Out-of-Band authentication mechanisms</t>
        </is>
      </c>
      <c r="C48" s="23" t="inlineStr">
        <is>
          <t>V6.6.4</t>
        </is>
      </c>
      <c r="D48" s="24" t="inlineStr">
        <is>
          <t>Verify that, where push notifications are used for multi-factor authentication, rate limiting is used to prevent push bombing attacks. Number matching may also mitigate this risk.</t>
        </is>
      </c>
      <c r="E48" s="26" t="n">
        <v>3</v>
      </c>
      <c r="F48" s="21" t="inlineStr">
        <is>
          <t>Not Started</t>
        </is>
      </c>
      <c r="G48" s="24" t="n"/>
      <c r="H48" s="24" t="n"/>
    </row>
    <row r="49" ht="18" customHeight="1" s="33">
      <c r="A49" s="16" t="inlineStr">
        <is>
          <t>V6.7</t>
        </is>
      </c>
      <c r="B49" s="16" t="inlineStr">
        <is>
          <t>Cryptographic authentication mechanism</t>
        </is>
      </c>
      <c r="C49" s="16" t="n"/>
      <c r="D49" s="16" t="n"/>
      <c r="E49" s="16" t="n"/>
      <c r="F49" s="16" t="n"/>
      <c r="G49" s="16" t="n"/>
      <c r="H49" s="16" t="n"/>
    </row>
    <row r="50" ht="30" customHeight="1" s="33">
      <c r="A50" s="17" t="inlineStr">
        <is>
          <t>V6.7</t>
        </is>
      </c>
      <c r="B50" s="17" t="inlineStr">
        <is>
          <t>Cryptographic authentication mechanism</t>
        </is>
      </c>
      <c r="C50" s="18" t="inlineStr">
        <is>
          <t>V6.7.1</t>
        </is>
      </c>
      <c r="D50" s="19" t="inlineStr">
        <is>
          <t>Verify that the certificates used to verify cryptographic authentication assertions are stored in a way protects them from modification.</t>
        </is>
      </c>
      <c r="E50" s="26" t="n">
        <v>3</v>
      </c>
      <c r="F50" s="21" t="inlineStr">
        <is>
          <t>Not Started</t>
        </is>
      </c>
      <c r="G50" s="19" t="n"/>
      <c r="H50" s="19" t="n"/>
    </row>
    <row r="51" ht="30" customHeight="1" s="33">
      <c r="A51" s="22" t="inlineStr">
        <is>
          <t>V6.7</t>
        </is>
      </c>
      <c r="B51" s="22" t="inlineStr">
        <is>
          <t>Cryptographic authentication mechanism</t>
        </is>
      </c>
      <c r="C51" s="23" t="inlineStr">
        <is>
          <t>V6.7.2</t>
        </is>
      </c>
      <c r="D51" s="24" t="inlineStr">
        <is>
          <t>Verify that the challenge nonce is at least 64 bits in length, and statistically unique or unique over the lifetime of the cryptographic device.</t>
        </is>
      </c>
      <c r="E51" s="26" t="n">
        <v>3</v>
      </c>
      <c r="F51" s="21" t="inlineStr">
        <is>
          <t>Not Started</t>
        </is>
      </c>
      <c r="G51" s="24" t="n"/>
      <c r="H51" s="24" t="n"/>
    </row>
    <row r="52" ht="18" customHeight="1" s="33">
      <c r="A52" s="16" t="inlineStr">
        <is>
          <t>V6.8</t>
        </is>
      </c>
      <c r="B52" s="16" t="inlineStr">
        <is>
          <t>Authentication with an Identity Provider</t>
        </is>
      </c>
      <c r="C52" s="16" t="n"/>
      <c r="D52" s="16" t="n"/>
      <c r="E52" s="16" t="n"/>
      <c r="F52" s="16" t="n"/>
      <c r="G52" s="16" t="n"/>
      <c r="H52" s="16" t="n"/>
    </row>
    <row r="53" ht="30" customHeight="1" s="33">
      <c r="A53" s="17" t="inlineStr">
        <is>
          <t>V6.8</t>
        </is>
      </c>
      <c r="B53" s="17" t="inlineStr">
        <is>
          <t>Authentication with an Identity Provider</t>
        </is>
      </c>
      <c r="C53" s="18" t="inlineStr">
        <is>
          <t>V6.8.1</t>
        </is>
      </c>
      <c r="D53" s="19"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20" t="n">
        <v>2</v>
      </c>
      <c r="F53" s="21" t="inlineStr">
        <is>
          <t>Not Started</t>
        </is>
      </c>
      <c r="G53" s="19" t="n"/>
      <c r="H53" s="19" t="n"/>
    </row>
    <row r="54" ht="30" customHeight="1" s="33">
      <c r="A54" s="22" t="inlineStr">
        <is>
          <t>V6.8</t>
        </is>
      </c>
      <c r="B54" s="22" t="inlineStr">
        <is>
          <t>Authentication with an Identity Provider</t>
        </is>
      </c>
      <c r="C54" s="23" t="inlineStr">
        <is>
          <t>V6.8.2</t>
        </is>
      </c>
      <c r="D54" s="24" t="inlineStr">
        <is>
          <t>Verify that the presence and integrity of digital signatures on authentication assertions (for example on JWTs or SAML assertions) are always validated, rejecting any assertions that are unsigned or have invalid signatures.</t>
        </is>
      </c>
      <c r="E54" s="20" t="n">
        <v>2</v>
      </c>
      <c r="F54" s="21" t="inlineStr">
        <is>
          <t>Not Started</t>
        </is>
      </c>
      <c r="G54" s="24" t="n"/>
      <c r="H54" s="24" t="n"/>
    </row>
    <row r="55" ht="30" customHeight="1" s="33">
      <c r="A55" s="17" t="inlineStr">
        <is>
          <t>V6.8</t>
        </is>
      </c>
      <c r="B55" s="17" t="inlineStr">
        <is>
          <t>Authentication with an Identity Provider</t>
        </is>
      </c>
      <c r="C55" s="18" t="inlineStr">
        <is>
          <t>V6.8.3</t>
        </is>
      </c>
      <c r="D55" s="19" t="inlineStr">
        <is>
          <t>Verify that SAML assertions are uniquely processed and used only once within the validity period to prevent replay attacks.</t>
        </is>
      </c>
      <c r="E55" s="20" t="n">
        <v>2</v>
      </c>
      <c r="F55" s="21" t="inlineStr">
        <is>
          <t>Not Started</t>
        </is>
      </c>
      <c r="G55" s="19" t="n"/>
      <c r="H55" s="19" t="n"/>
    </row>
    <row r="56" ht="30" customHeight="1" s="33">
      <c r="A56" s="22" t="inlineStr">
        <is>
          <t>V6.8</t>
        </is>
      </c>
      <c r="B56" s="22" t="inlineStr">
        <is>
          <t>Authentication with an Identity Provider</t>
        </is>
      </c>
      <c r="C56" s="23" t="inlineStr">
        <is>
          <t>V6.8.4</t>
        </is>
      </c>
      <c r="D56" s="24"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20" t="n">
        <v>2</v>
      </c>
      <c r="F56" s="21" t="inlineStr">
        <is>
          <t>Not Started</t>
        </is>
      </c>
      <c r="G56" s="24" t="n"/>
      <c r="H56" s="24" t="n"/>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sheetPr>
    <outlinePr summaryBelow="1" summaryRight="1"/>
    <pageSetUpPr/>
  </sheetPr>
  <dimension ref="A1:H26"/>
  <sheetViews>
    <sheetView zoomScale="75" zoomScaleNormal="75" workbookViewId="0">
      <pane ySplit="1" topLeftCell="A2" activePane="bottomLeft" state="frozen"/>
      <selection pane="bottomLeft" activeCell="H3" sqref="H3"/>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V7.1</t>
        </is>
      </c>
      <c r="B2" s="16" t="inlineStr">
        <is>
          <t>Session Management Documentation</t>
        </is>
      </c>
      <c r="C2" s="16" t="n"/>
      <c r="D2" s="16" t="n"/>
      <c r="E2" s="16" t="n"/>
      <c r="F2" s="16" t="n"/>
      <c r="G2" s="16" t="n"/>
      <c r="H2" s="16" t="n"/>
    </row>
    <row r="3" ht="30" customHeight="1" s="33">
      <c r="A3" s="17" t="inlineStr">
        <is>
          <t>V7.1</t>
        </is>
      </c>
      <c r="B3" s="17" t="inlineStr">
        <is>
          <t>Session Management Documentation</t>
        </is>
      </c>
      <c r="C3" s="18" t="inlineStr">
        <is>
          <t>V7.1.1</t>
        </is>
      </c>
      <c r="D3" s="19"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20" t="n">
        <v>2</v>
      </c>
      <c r="F3" s="21" t="inlineStr">
        <is>
          <t>Not Started</t>
        </is>
      </c>
      <c r="G3" s="27" t="inlineStr">
        <is>
          <t>[RF01] RF01: Documentado em Mitigations.md — JWT com lifetime absoluto de 15 minutos + refresh tokens com rotação automática. Decisão alinhada com mitigação de T3.4 (anti-replay) e melhores práticas ASVS.</t>
        </is>
      </c>
      <c r="H3" s="19" t="n"/>
    </row>
    <row r="4" ht="30" customHeight="1" s="33">
      <c r="A4" s="22" t="inlineStr">
        <is>
          <t>V7.1</t>
        </is>
      </c>
      <c r="B4" s="22" t="inlineStr">
        <is>
          <t>Session Management Documentation</t>
        </is>
      </c>
      <c r="C4" s="23" t="inlineStr">
        <is>
          <t>V7.1.2</t>
        </is>
      </c>
      <c r="D4" s="24" t="inlineStr">
        <is>
          <t>Verify that the documentation defines how many concurrent (parallel) sessions are allowed for one account as well as the intended behaviors and actions to be taken when the maximum number of active sessions is reached.</t>
        </is>
      </c>
      <c r="E4" s="20" t="n">
        <v>2</v>
      </c>
      <c r="F4" s="21" t="inlineStr">
        <is>
          <t>Not Started</t>
        </is>
      </c>
      <c r="G4" s="24" t="n"/>
      <c r="H4" s="24" t="n"/>
    </row>
    <row r="5" ht="30" customHeight="1" s="33">
      <c r="A5" s="17" t="inlineStr">
        <is>
          <t>V7.1</t>
        </is>
      </c>
      <c r="B5" s="17" t="inlineStr">
        <is>
          <t>Session Management Documentation</t>
        </is>
      </c>
      <c r="C5" s="18" t="inlineStr">
        <is>
          <t>V7.1.3</t>
        </is>
      </c>
      <c r="D5" s="19"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20" t="n">
        <v>2</v>
      </c>
      <c r="F5" s="21" t="inlineStr">
        <is>
          <t>Not Started</t>
        </is>
      </c>
      <c r="G5" s="19" t="n"/>
      <c r="H5" s="19" t="n"/>
    </row>
    <row r="6" ht="18" customHeight="1" s="33">
      <c r="A6" s="16" t="inlineStr">
        <is>
          <t>V7.2</t>
        </is>
      </c>
      <c r="B6" s="16" t="inlineStr">
        <is>
          <t>Fundamental Session Management Security</t>
        </is>
      </c>
      <c r="C6" s="16" t="n"/>
      <c r="D6" s="16" t="n"/>
      <c r="E6" s="16" t="n"/>
      <c r="F6" s="16" t="n"/>
      <c r="G6" s="16" t="n"/>
      <c r="H6" s="16" t="n"/>
    </row>
    <row r="7" ht="30" customHeight="1" s="33">
      <c r="A7" s="17" t="inlineStr">
        <is>
          <t>V7.2</t>
        </is>
      </c>
      <c r="B7" s="17" t="inlineStr">
        <is>
          <t>Fundamental Session Management Security</t>
        </is>
      </c>
      <c r="C7" s="18" t="inlineStr">
        <is>
          <t>V7.2.1</t>
        </is>
      </c>
      <c r="D7" s="19" t="inlineStr">
        <is>
          <t>Verify that the application performs all session token verification using a trusted, backend service.</t>
        </is>
      </c>
      <c r="E7" s="25" t="n">
        <v>1</v>
      </c>
      <c r="F7" s="21" t="inlineStr">
        <is>
          <t>Not Started</t>
        </is>
      </c>
      <c r="G7" s="19" t="inlineStr">
        <is>
          <t>[RF01] RF01: Validação de JWT feita exclusivamente pelo middleware backend (JwtBearer no ASP.NET Core). Nunca se confia em headers manipulados pelo cliente. Mitigação direta de T1.4.
[RF02] JWT tem de ser sempre validado. Nenhuma operação pode avançar sem um token válido.</t>
        </is>
      </c>
      <c r="H7" s="19" t="n"/>
    </row>
    <row r="8" ht="30" customHeight="1" s="33">
      <c r="A8" s="22" t="inlineStr">
        <is>
          <t>V7.2</t>
        </is>
      </c>
      <c r="B8" s="22" t="inlineStr">
        <is>
          <t>Fundamental Session Management Security</t>
        </is>
      </c>
      <c r="C8" s="23" t="inlineStr">
        <is>
          <t>V7.2.2</t>
        </is>
      </c>
      <c r="D8" s="24" t="inlineStr">
        <is>
          <t>Verify that the application uses either self-contained or reference tokens that are dynamically generated for session management, i.e. not using static API secrets and keys.</t>
        </is>
      </c>
      <c r="E8" s="25" t="n">
        <v>1</v>
      </c>
      <c r="F8" s="21" t="inlineStr">
        <is>
          <t>Not Started</t>
        </is>
      </c>
      <c r="G8" s="24" t="inlineStr">
        <is>
          <t>[RF01] RF01: JWT (self-contained) gerado dinamicamente em cada login, assinado com chave HMAC-SHA256 obtida do HashiCorp Vault. Não existem tokens estáticos ou hardcoded.
[RF02] O JWT tem de ser gerado dinamicamente pelo emissor</t>
        </is>
      </c>
      <c r="H8" s="24" t="n"/>
    </row>
    <row r="9" ht="30" customHeight="1" s="33">
      <c r="A9" s="17" t="inlineStr">
        <is>
          <t>V7.2</t>
        </is>
      </c>
      <c r="B9" s="17" t="inlineStr">
        <is>
          <t>Fundamental Session Management Security</t>
        </is>
      </c>
      <c r="C9" s="18" t="inlineStr">
        <is>
          <t>V7.2.3</t>
        </is>
      </c>
      <c r="D9" s="19" t="inlineStr">
        <is>
          <t>Verify that if reference tokens are used to represent user sessions, they are unique and generated using a cryptographically secure pseudo-random number generator (CSPRNG) and possess at least 128 bits of entropy.</t>
        </is>
      </c>
      <c r="E9" s="25" t="n">
        <v>1</v>
      </c>
      <c r="F9" s="21" t="inlineStr">
        <is>
          <t>Not Started</t>
        </is>
      </c>
      <c r="G9" s="19" t="n"/>
      <c r="H9" s="19" t="n"/>
    </row>
    <row r="10" ht="30" customHeight="1" s="33">
      <c r="A10" s="22" t="inlineStr">
        <is>
          <t>V7.2</t>
        </is>
      </c>
      <c r="B10" s="22" t="inlineStr">
        <is>
          <t>Fundamental Session Management Security</t>
        </is>
      </c>
      <c r="C10" s="23" t="inlineStr">
        <is>
          <t>V7.2.4</t>
        </is>
      </c>
      <c r="D10" s="24" t="inlineStr">
        <is>
          <t>Verify that the application generates a new session token on user authentication, including re-authentication, and terminates the current session token.</t>
        </is>
      </c>
      <c r="E10" s="25" t="n">
        <v>1</v>
      </c>
      <c r="F10" s="21" t="inlineStr">
        <is>
          <t>Not Started</t>
        </is>
      </c>
      <c r="G10" s="24" t="inlineStr">
        <is>
          <t>[RF01] RF01: Novo JWT emitido em cada autenticação (login ou refresh). Refresh token rotacionado em cada uso — o antigo é marcado como invalidado na BD, prevenindo reuso. Mitiga T3.4.</t>
        </is>
      </c>
      <c r="H10" s="24" t="n"/>
    </row>
    <row r="11" ht="18" customHeight="1" s="33">
      <c r="A11" s="16" t="inlineStr">
        <is>
          <t>V7.3</t>
        </is>
      </c>
      <c r="B11" s="16" t="inlineStr">
        <is>
          <t>Session Timeout</t>
        </is>
      </c>
      <c r="C11" s="16" t="n"/>
      <c r="D11" s="16" t="n"/>
      <c r="E11" s="16" t="n"/>
      <c r="F11" s="16" t="n"/>
      <c r="G11" s="16" t="n"/>
      <c r="H11" s="16" t="n"/>
    </row>
    <row r="12" ht="30" customHeight="1" s="33">
      <c r="A12" s="17" t="inlineStr">
        <is>
          <t>V7.3</t>
        </is>
      </c>
      <c r="B12" s="17" t="inlineStr">
        <is>
          <t>Session Timeout</t>
        </is>
      </c>
      <c r="C12" s="18" t="inlineStr">
        <is>
          <t>V7.3.1</t>
        </is>
      </c>
      <c r="D12" s="19" t="inlineStr">
        <is>
          <t>Verify that there is an inactivity timeout such that re-authentication is enforced according to risk analysis and documented security decisions.</t>
        </is>
      </c>
      <c r="E12" s="20" t="n">
        <v>2</v>
      </c>
      <c r="F12" s="21" t="inlineStr">
        <is>
          <t>Not Started</t>
        </is>
      </c>
      <c r="G12" s="19" t="inlineStr">
        <is>
          <t>[RF01] RF01: Inactivity timeout de 15 minutos (JWT lifetime). Após expiração, re-autenticação obrigatória via refresh token ou novo login. Documentado em Mitigations.md.</t>
        </is>
      </c>
      <c r="H12" s="19" t="n"/>
    </row>
    <row r="13" ht="30" customHeight="1" s="33">
      <c r="A13" s="22" t="inlineStr">
        <is>
          <t>V7.3</t>
        </is>
      </c>
      <c r="B13" s="22" t="inlineStr">
        <is>
          <t>Session Timeout</t>
        </is>
      </c>
      <c r="C13" s="23" t="inlineStr">
        <is>
          <t>V7.3.2</t>
        </is>
      </c>
      <c r="D13" s="24" t="inlineStr">
        <is>
          <t>Verify that there is an absolute maximum session lifetime such that re-authentication is enforced according to risk analysis and documented security decisions.</t>
        </is>
      </c>
      <c r="E13" s="20" t="n">
        <v>2</v>
      </c>
      <c r="F13" s="21" t="inlineStr">
        <is>
          <t>Not Started</t>
        </is>
      </c>
      <c r="G13" s="24" t="n"/>
      <c r="H13" s="24" t="n"/>
    </row>
    <row r="14" ht="18" customHeight="1" s="33">
      <c r="A14" s="16" t="inlineStr">
        <is>
          <t>V7.4</t>
        </is>
      </c>
      <c r="B14" s="16" t="inlineStr">
        <is>
          <t>Session Termination</t>
        </is>
      </c>
      <c r="C14" s="16" t="n"/>
      <c r="D14" s="16" t="n"/>
      <c r="E14" s="16" t="n"/>
      <c r="F14" s="16" t="n"/>
      <c r="G14" s="16" t="n"/>
      <c r="H14" s="16" t="n"/>
    </row>
    <row r="15" ht="30" customHeight="1" s="33">
      <c r="A15" s="17" t="inlineStr">
        <is>
          <t>V7.4</t>
        </is>
      </c>
      <c r="B15" s="17" t="inlineStr">
        <is>
          <t>Session Termination</t>
        </is>
      </c>
      <c r="C15" s="18" t="inlineStr">
        <is>
          <t>V7.4.1</t>
        </is>
      </c>
      <c r="D15" s="19"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25" t="n">
        <v>1</v>
      </c>
      <c r="F15" s="21" t="inlineStr">
        <is>
          <t>Not Started</t>
        </is>
      </c>
      <c r="G15" s="19" t="inlineStr">
        <is>
          <t>[RF01] RF01: Logout invalida o refresh token associado na BD (blacklist). JWT existente expira naturalmente em &lt;=15 min. Refresh tokens blacklisted são rejeitados em todos os endpoints.</t>
        </is>
      </c>
      <c r="H15" s="19" t="n"/>
    </row>
    <row r="16" ht="30" customHeight="1" s="33">
      <c r="A16" s="22" t="inlineStr">
        <is>
          <t>V7.4</t>
        </is>
      </c>
      <c r="B16" s="22" t="inlineStr">
        <is>
          <t>Session Termination</t>
        </is>
      </c>
      <c r="C16" s="23" t="inlineStr">
        <is>
          <t>V7.4.2</t>
        </is>
      </c>
      <c r="D16" s="24" t="inlineStr">
        <is>
          <t>Verify that the application terminates all active sessions when a user account is disabled or deleted (such as an employee leaving the company).</t>
        </is>
      </c>
      <c r="E16" s="25" t="n">
        <v>1</v>
      </c>
      <c r="F16" s="21" t="inlineStr">
        <is>
          <t>Not Started</t>
        </is>
      </c>
      <c r="G16" s="24" t="inlineStr">
        <is>
          <t>[RF01] RF01: Ao desativar/eliminar uma conta, todos os refresh tokens dessa conta são imediatamente revogados na BD. JWT ativos expiram em &lt;=15 min por design.</t>
        </is>
      </c>
      <c r="H16" s="24" t="n"/>
    </row>
    <row r="17" ht="30" customHeight="1" s="33">
      <c r="A17" s="17" t="inlineStr">
        <is>
          <t>V7.4</t>
        </is>
      </c>
      <c r="B17" s="17" t="inlineStr">
        <is>
          <t>Session Termination</t>
        </is>
      </c>
      <c r="C17" s="18" t="inlineStr">
        <is>
          <t>V7.4.3</t>
        </is>
      </c>
      <c r="D17" s="19" t="inlineStr">
        <is>
          <t>Verify that the application gives the option to terminate all other active sessions after a successful change or removal of any authentication factor (including password change via reset or recovery and, if present, an MFA settings update).</t>
        </is>
      </c>
      <c r="E17" s="20" t="n">
        <v>2</v>
      </c>
      <c r="F17" s="21" t="inlineStr">
        <is>
          <t>Not Started</t>
        </is>
      </c>
      <c r="G17" s="19" t="n"/>
      <c r="H17" s="19" t="n"/>
    </row>
    <row r="18" ht="30" customHeight="1" s="33">
      <c r="A18" s="22" t="inlineStr">
        <is>
          <t>V7.4</t>
        </is>
      </c>
      <c r="B18" s="22" t="inlineStr">
        <is>
          <t>Session Termination</t>
        </is>
      </c>
      <c r="C18" s="23" t="inlineStr">
        <is>
          <t>V7.4.4</t>
        </is>
      </c>
      <c r="D18" s="24" t="inlineStr">
        <is>
          <t>Verify that all pages that require authentication have easy and visible access to logout functionality.</t>
        </is>
      </c>
      <c r="E18" s="20" t="n">
        <v>2</v>
      </c>
      <c r="F18" s="21" t="inlineStr">
        <is>
          <t>Not Started</t>
        </is>
      </c>
      <c r="G18" s="24" t="n"/>
      <c r="H18" s="24" t="n"/>
    </row>
    <row r="19" ht="30" customHeight="1" s="33">
      <c r="A19" s="17" t="inlineStr">
        <is>
          <t>V7.4</t>
        </is>
      </c>
      <c r="B19" s="17" t="inlineStr">
        <is>
          <t>Session Termination</t>
        </is>
      </c>
      <c r="C19" s="18" t="inlineStr">
        <is>
          <t>V7.4.5</t>
        </is>
      </c>
      <c r="D19" s="19" t="inlineStr">
        <is>
          <t>Verify that application administrators are able to terminate active sessions for an individual user or for all users.</t>
        </is>
      </c>
      <c r="E19" s="20" t="n">
        <v>2</v>
      </c>
      <c r="F19" s="21" t="inlineStr">
        <is>
          <t>Not Started</t>
        </is>
      </c>
      <c r="G19" s="19" t="n"/>
      <c r="H19" s="19" t="n"/>
    </row>
    <row r="20" ht="18" customHeight="1" s="33">
      <c r="A20" s="16" t="inlineStr">
        <is>
          <t>V7.5</t>
        </is>
      </c>
      <c r="B20" s="16" t="inlineStr">
        <is>
          <t>Defenses Against Session Abuse</t>
        </is>
      </c>
      <c r="C20" s="16" t="n"/>
      <c r="D20" s="16" t="n"/>
      <c r="E20" s="16" t="n"/>
      <c r="F20" s="16" t="n"/>
      <c r="G20" s="16" t="n"/>
      <c r="H20" s="16" t="n"/>
    </row>
    <row r="21" ht="30" customHeight="1" s="33">
      <c r="A21" s="17" t="inlineStr">
        <is>
          <t>V7.5</t>
        </is>
      </c>
      <c r="B21" s="17" t="inlineStr">
        <is>
          <t>Defenses Against Session Abuse</t>
        </is>
      </c>
      <c r="C21" s="18" t="inlineStr">
        <is>
          <t>V7.5.1</t>
        </is>
      </c>
      <c r="D21" s="19"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20" t="n">
        <v>2</v>
      </c>
      <c r="F21" s="21" t="inlineStr">
        <is>
          <t>Not Started</t>
        </is>
      </c>
      <c r="G21" s="19" t="n"/>
      <c r="H21" s="19" t="n"/>
    </row>
    <row r="22" ht="30" customHeight="1" s="33">
      <c r="A22" s="22" t="inlineStr">
        <is>
          <t>V7.5</t>
        </is>
      </c>
      <c r="B22" s="22" t="inlineStr">
        <is>
          <t>Defenses Against Session Abuse</t>
        </is>
      </c>
      <c r="C22" s="23" t="inlineStr">
        <is>
          <t>V7.5.2</t>
        </is>
      </c>
      <c r="D22" s="24" t="inlineStr">
        <is>
          <t>Verify that users are able to view and (having authenticated again with at least one factor) terminate any or all currently active sessions.</t>
        </is>
      </c>
      <c r="E22" s="20" t="n">
        <v>2</v>
      </c>
      <c r="F22" s="21" t="inlineStr">
        <is>
          <t>Not Started</t>
        </is>
      </c>
      <c r="G22" s="24" t="n"/>
      <c r="H22" s="24" t="n"/>
    </row>
    <row r="23" ht="30" customHeight="1" s="33">
      <c r="A23" s="17" t="inlineStr">
        <is>
          <t>V7.5</t>
        </is>
      </c>
      <c r="B23" s="17" t="inlineStr">
        <is>
          <t>Defenses Against Session Abuse</t>
        </is>
      </c>
      <c r="C23" s="18" t="inlineStr">
        <is>
          <t>V7.5.3</t>
        </is>
      </c>
      <c r="D23" s="19" t="inlineStr">
        <is>
          <t>Verify that the application requires further authentication with at least one factor or secondary verification before performing highly sensitive transactions or operations.</t>
        </is>
      </c>
      <c r="E23" s="26" t="n">
        <v>3</v>
      </c>
      <c r="F23" s="21" t="inlineStr">
        <is>
          <t>Not Started</t>
        </is>
      </c>
      <c r="G23" s="19" t="n"/>
      <c r="H23" s="19" t="n"/>
    </row>
    <row r="24" ht="18" customHeight="1" s="33">
      <c r="A24" s="16" t="inlineStr">
        <is>
          <t>V7.6</t>
        </is>
      </c>
      <c r="B24" s="16" t="inlineStr">
        <is>
          <t>Federated Re-authentication</t>
        </is>
      </c>
      <c r="C24" s="16" t="n"/>
      <c r="D24" s="16" t="n"/>
      <c r="E24" s="16" t="n"/>
      <c r="F24" s="16" t="n"/>
      <c r="G24" s="16" t="n"/>
      <c r="H24" s="16" t="n"/>
    </row>
    <row r="25" ht="30" customHeight="1" s="33">
      <c r="A25" s="17" t="inlineStr">
        <is>
          <t>V7.6</t>
        </is>
      </c>
      <c r="B25" s="17" t="inlineStr">
        <is>
          <t>Federated Re-authentication</t>
        </is>
      </c>
      <c r="C25" s="18" t="inlineStr">
        <is>
          <t>V7.6.1</t>
        </is>
      </c>
      <c r="D25" s="19" t="inlineStr">
        <is>
          <t>Verify that session lifetime and termination between Relying Parties (RPs) and Identity Providers (IdPs) behave as documented, requiring re-authentication as necessary such as when the maximum time between IdP authentication events is reached.</t>
        </is>
      </c>
      <c r="E25" s="20" t="n">
        <v>2</v>
      </c>
      <c r="F25" s="21" t="inlineStr">
        <is>
          <t>Not Started</t>
        </is>
      </c>
      <c r="G25" s="19" t="n"/>
      <c r="H25" s="19" t="n"/>
    </row>
    <row r="26" ht="30" customHeight="1" s="33">
      <c r="A26" s="22" t="inlineStr">
        <is>
          <t>V7.6</t>
        </is>
      </c>
      <c r="B26" s="22" t="inlineStr">
        <is>
          <t>Federated Re-authentication</t>
        </is>
      </c>
      <c r="C26" s="23" t="inlineStr">
        <is>
          <t>V7.6.2</t>
        </is>
      </c>
      <c r="D26" s="24" t="inlineStr">
        <is>
          <t>Verify that creation of a session requires either the user's consent or an explicit action, preventing the creation of new application sessions without user interaction.</t>
        </is>
      </c>
      <c r="E26" s="20" t="n">
        <v>2</v>
      </c>
      <c r="F26" s="21" t="inlineStr">
        <is>
          <t>Not Started</t>
        </is>
      </c>
      <c r="G26" s="24" t="n"/>
      <c r="H26" s="24" t="n"/>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sheetPr>
    <outlinePr summaryBelow="1" summaryRight="1"/>
    <pageSetUpPr/>
  </sheetPr>
  <dimension ref="A1:H18"/>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V8.1</t>
        </is>
      </c>
      <c r="B2" s="16" t="inlineStr">
        <is>
          <t>Authorization Documentation</t>
        </is>
      </c>
      <c r="C2" s="16" t="n"/>
      <c r="D2" s="16" t="n"/>
      <c r="E2" s="16" t="n"/>
      <c r="F2" s="16" t="n"/>
      <c r="G2" s="16" t="n"/>
      <c r="H2" s="16" t="n"/>
    </row>
    <row r="3" ht="30" customHeight="1" s="33">
      <c r="A3" s="17" t="inlineStr">
        <is>
          <t>V8.1</t>
        </is>
      </c>
      <c r="B3" s="17" t="inlineStr">
        <is>
          <t>Authorization Documentation</t>
        </is>
      </c>
      <c r="C3" s="18" t="inlineStr">
        <is>
          <t>V8.1.1</t>
        </is>
      </c>
      <c r="D3" s="19" t="inlineStr">
        <is>
          <t>Verify that authorization documentation defines rules for restricting function-level and data-specific access based on consumer permissions and resource attributes.</t>
        </is>
      </c>
      <c r="E3" s="25" t="n">
        <v>1</v>
      </c>
      <c r="F3" s="21" t="inlineStr">
        <is>
          <t>Not Started</t>
        </is>
      </c>
      <c r="G3" s="19" t="inlineStr">
        <is>
          <t>[RF01] RF01: RBAC documentado em FURPS+ com 3 roles (Advogado/Assistente Jurídico/Cliente). Regras de acesso function-level e data-specific explicitadas por role, seguindo princípio de least privilege.
[RF02] Estas regras têm de estar documentadas formalmente e implementadas no API com políticas de autorização.
[RF03] RF01/RF03: Documentadas as regras de acesso por papel (Advogado, Assistente, Cliente) para operações sobre diretórios e ficheiros de processos.
[RF04] RF04 documenta regras de acesso aos logs por role: Advogado vê logs dos seus processos, Assistente Jurídico vê logs dos processos atribuídos, Cliente sem acesso direto.</t>
        </is>
      </c>
      <c r="H3" s="19" t="n"/>
    </row>
    <row r="4" ht="30" customHeight="1" s="33">
      <c r="A4" s="22" t="inlineStr">
        <is>
          <t>V8.1</t>
        </is>
      </c>
      <c r="B4" s="22" t="inlineStr">
        <is>
          <t>Authorization Documentation</t>
        </is>
      </c>
      <c r="C4" s="23" t="inlineStr">
        <is>
          <t>V8.1.2</t>
        </is>
      </c>
      <c r="D4" s="24"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20" t="n">
        <v>2</v>
      </c>
      <c r="F4" s="21" t="inlineStr">
        <is>
          <t>Not Started</t>
        </is>
      </c>
      <c r="G4" s="24" t="inlineStr">
        <is>
          <t>[RF02] As restrições ao nível de role têm de ser documentadas explicitamente para cada papel.
[RF03] RF01/RF03: Regras de acesso ao nível de campo documentadas: Clientes só leem; Assistentes leem/escrevem; Advogados têm controlo total.
[RF04] RF04 define restrição de acesso ao nível do campo: logs de outros utilizadores ou processos não são retornados, mesmo para roles com permissões elevadas.</t>
        </is>
      </c>
      <c r="H4" s="24" t="n"/>
    </row>
    <row r="5" ht="30" customHeight="1" s="33">
      <c r="A5" s="17" t="inlineStr">
        <is>
          <t>V8.1</t>
        </is>
      </c>
      <c r="B5" s="17" t="inlineStr">
        <is>
          <t>Authorization Documentation</t>
        </is>
      </c>
      <c r="C5" s="18" t="inlineStr">
        <is>
          <t>V8.1.3</t>
        </is>
      </c>
      <c r="D5" s="19"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26" t="n">
        <v>3</v>
      </c>
      <c r="F5" s="21" t="inlineStr">
        <is>
          <t>Not Started</t>
        </is>
      </c>
      <c r="G5" s="19" t="n"/>
      <c r="H5" s="19" t="n"/>
    </row>
    <row r="6" ht="30" customHeight="1" s="33">
      <c r="A6" s="22" t="inlineStr">
        <is>
          <t>V8.1</t>
        </is>
      </c>
      <c r="B6" s="22" t="inlineStr">
        <is>
          <t>Authorization Documentation</t>
        </is>
      </c>
      <c r="C6" s="23" t="inlineStr">
        <is>
          <t>V8.1.4</t>
        </is>
      </c>
      <c r="D6" s="24"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26" t="n">
        <v>3</v>
      </c>
      <c r="F6" s="21" t="inlineStr">
        <is>
          <t>Not Started</t>
        </is>
      </c>
      <c r="G6" s="24" t="n"/>
      <c r="H6" s="24" t="n"/>
    </row>
    <row r="7" ht="18" customHeight="1" s="33">
      <c r="A7" s="16" t="inlineStr">
        <is>
          <t>V8.2</t>
        </is>
      </c>
      <c r="B7" s="16" t="inlineStr">
        <is>
          <t>General Authorization Design</t>
        </is>
      </c>
      <c r="C7" s="16" t="n"/>
      <c r="D7" s="16" t="n"/>
      <c r="E7" s="16" t="n"/>
      <c r="F7" s="16" t="n"/>
      <c r="G7" s="16" t="n"/>
      <c r="H7" s="16" t="n"/>
    </row>
    <row r="8" ht="30" customHeight="1" s="33">
      <c r="A8" s="17" t="inlineStr">
        <is>
          <t>V8.2</t>
        </is>
      </c>
      <c r="B8" s="17" t="inlineStr">
        <is>
          <t>General Authorization Design</t>
        </is>
      </c>
      <c r="C8" s="18" t="inlineStr">
        <is>
          <t>V8.2.1</t>
        </is>
      </c>
      <c r="D8" s="19" t="inlineStr">
        <is>
          <t>Verify that the application ensures that function-level access is restricted to consumers with explicit permissions.</t>
        </is>
      </c>
      <c r="E8" s="25" t="n">
        <v>1</v>
      </c>
      <c r="F8" s="21" t="inlineStr">
        <is>
          <t>Not Started</t>
        </is>
      </c>
      <c r="G8" s="19" t="inlineStr">
        <is>
          <t>[RF01] RF01: Autorização function-level imposta via atributo [Authorize(Roles="...")] nos controllers/endpoints da Web API. Cada endpoint restringe explicitamente os roles permitidos. Mitigação primária de T1.4.
[RF02] O acesso a cada operação tem de ser restrito por papel.
[RF03] RF01/RF03: Middleware RBAC em .NET verifica permissões por papel antes de qualquer operação sobre o sistema de ficheiros do processo.
[RF04] RF04: endpoints de consulta de logs restritos por RBAC. Ameaça T4.4 (Abuso de Funcionalidades – Muito Alto, DREAD 42) cobre exploração de permissões legítimas.</t>
        </is>
      </c>
      <c r="H8" s="19" t="n"/>
    </row>
    <row r="9" ht="30" customHeight="1" s="33">
      <c r="A9" s="22" t="inlineStr">
        <is>
          <t>V8.2</t>
        </is>
      </c>
      <c r="B9" s="22" t="inlineStr">
        <is>
          <t>General Authorization Design</t>
        </is>
      </c>
      <c r="C9" s="23" t="inlineStr">
        <is>
          <t>V8.2.2</t>
        </is>
      </c>
      <c r="D9" s="24" t="inlineStr">
        <is>
          <t>Verify that the application ensures that data-specific access is restricted to consumers with explicit permissions to specific data items to mitigate insecure direct object reference (IDOR) and broken object level authorization (BOLA).</t>
        </is>
      </c>
      <c r="E9" s="25" t="n">
        <v>1</v>
      </c>
      <c r="F9" s="21" t="inlineStr">
        <is>
          <t>Not Started</t>
        </is>
      </c>
      <c r="G9" s="24" t="inlineStr">
        <is>
          <t>[RF01] RF01: Data-specific access enforcement: Cliente acede apenas aos processos de que é titular; Assistente apenas aos do Advogado a que está alocado; Advogado apenas aos seus casos. Verificação feita no serviço com base em claims do JWT. Mitiga BOLA/IDOR.
[RF02] Em cada pedido, o backend tem de verificar na BD que o utilizador do JWT pertence ao processo do Process ID enviado
[RF03] RF01/RF03: Acesso a diretórios de processo restrito ao ID do processo; verificação server-side que o utilizador tem acesso ao processo específico.
[RF04] RF04: cada utilizador acede apenas aos logs dos seus próprios processos (IDOR prevenido). Acesso a logs de outros processos resulta em 403 Forbidden.</t>
        </is>
      </c>
      <c r="H9" s="24" t="n"/>
    </row>
    <row r="10" ht="30" customHeight="1" s="33">
      <c r="A10" s="17" t="inlineStr">
        <is>
          <t>V8.2</t>
        </is>
      </c>
      <c r="B10" s="17" t="inlineStr">
        <is>
          <t>General Authorization Design</t>
        </is>
      </c>
      <c r="C10" s="18" t="inlineStr">
        <is>
          <t>V8.2.3</t>
        </is>
      </c>
      <c r="D10" s="19" t="inlineStr">
        <is>
          <t>Verify that the application ensures that field-level access is restricted to consumers with explicit permissions to specific fields to mitigate broken object property level authorization (BOPLA).</t>
        </is>
      </c>
      <c r="E10" s="20" t="n">
        <v>2</v>
      </c>
      <c r="F10" s="21" t="inlineStr">
        <is>
          <t>Not Started</t>
        </is>
      </c>
      <c r="G10" s="19" t="inlineStr">
        <is>
          <t>[RF02] Restrições ao nível de role têm de ser aplicadas</t>
        </is>
      </c>
      <c r="H10" s="19" t="n"/>
    </row>
    <row r="11" ht="30" customHeight="1" s="33">
      <c r="A11" s="22" t="inlineStr">
        <is>
          <t>V8.2</t>
        </is>
      </c>
      <c r="B11" s="22" t="inlineStr">
        <is>
          <t>General Authorization Design</t>
        </is>
      </c>
      <c r="C11" s="23" t="inlineStr">
        <is>
          <t>V8.2.4</t>
        </is>
      </c>
      <c r="D11" s="24"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26" t="n">
        <v>3</v>
      </c>
      <c r="F11" s="21" t="inlineStr">
        <is>
          <t>Not Started</t>
        </is>
      </c>
      <c r="G11" s="24" t="n"/>
      <c r="H11" s="24" t="n"/>
    </row>
    <row r="12" ht="18" customHeight="1" s="33">
      <c r="A12" s="16" t="inlineStr">
        <is>
          <t>V8.3</t>
        </is>
      </c>
      <c r="B12" s="16" t="inlineStr">
        <is>
          <t>Operation Level Authorization</t>
        </is>
      </c>
      <c r="C12" s="16" t="n"/>
      <c r="D12" s="16" t="n"/>
      <c r="E12" s="16" t="n"/>
      <c r="F12" s="16" t="n"/>
      <c r="G12" s="16" t="n"/>
      <c r="H12" s="16" t="n"/>
    </row>
    <row r="13" ht="30" customHeight="1" s="33">
      <c r="A13" s="17" t="inlineStr">
        <is>
          <t>V8.3</t>
        </is>
      </c>
      <c r="B13" s="17" t="inlineStr">
        <is>
          <t>Operation Level Authorization</t>
        </is>
      </c>
      <c r="C13" s="18" t="inlineStr">
        <is>
          <t>V8.3.1</t>
        </is>
      </c>
      <c r="D13" s="19" t="inlineStr">
        <is>
          <t>Verify that the application enforces authorization rules at a trusted service layer and doesn't rely on controls that an untrusted consumer could manipulate, such as client-side JavaScript.</t>
        </is>
      </c>
      <c r="E13" s="25" t="n">
        <v>1</v>
      </c>
      <c r="F13" s="21" t="inlineStr">
        <is>
          <t>Not Started</t>
        </is>
      </c>
      <c r="G13" s="19" t="inlineStr">
        <is>
          <t>[RF01] RF01: Todas as regras de autorização impostas no backend (trusted service layer). Nenhuma decisão de autorização é delegada ao cliente. Documentado no pilar "2. Access" do FURPS+.
[RF02] Nenhum role ou permissão enviado no pedido ou em headers pode ser confiável sem validação no servidor.
[RF03] RF01/RF03: Verificação de autorização executada exclusivamente no backend .NET; cliente não pode manipular decisões de acesso.</t>
        </is>
      </c>
      <c r="H13" s="19" t="n"/>
    </row>
    <row r="14" ht="30" customHeight="1" s="33">
      <c r="A14" s="22" t="inlineStr">
        <is>
          <t>V8.3</t>
        </is>
      </c>
      <c r="B14" s="22" t="inlineStr">
        <is>
          <t>Operation Level Authorization</t>
        </is>
      </c>
      <c r="C14" s="23" t="inlineStr">
        <is>
          <t>V8.3.2</t>
        </is>
      </c>
      <c r="D14" s="24"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26" t="n">
        <v>3</v>
      </c>
      <c r="F14" s="21" t="inlineStr">
        <is>
          <t>Not Started</t>
        </is>
      </c>
      <c r="G14" s="24" t="n"/>
      <c r="H14" s="24" t="n"/>
    </row>
    <row r="15" ht="30" customHeight="1" s="33">
      <c r="A15" s="17" t="inlineStr">
        <is>
          <t>V8.3</t>
        </is>
      </c>
      <c r="B15" s="17" t="inlineStr">
        <is>
          <t>Operation Level Authorization</t>
        </is>
      </c>
      <c r="C15" s="18" t="inlineStr">
        <is>
          <t>V8.3.3</t>
        </is>
      </c>
      <c r="D15" s="19"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26" t="n">
        <v>3</v>
      </c>
      <c r="F15" s="21" t="inlineStr">
        <is>
          <t>Not Started</t>
        </is>
      </c>
      <c r="G15" s="19" t="n"/>
      <c r="H15" s="19" t="n"/>
    </row>
    <row r="16" ht="18" customHeight="1" s="33">
      <c r="A16" s="16" t="inlineStr">
        <is>
          <t>V8.4</t>
        </is>
      </c>
      <c r="B16" s="16" t="inlineStr">
        <is>
          <t>Other Authorization Considerations</t>
        </is>
      </c>
      <c r="C16" s="16" t="n"/>
      <c r="D16" s="16" t="n"/>
      <c r="E16" s="16" t="n"/>
      <c r="F16" s="16" t="n"/>
      <c r="G16" s="16" t="n"/>
      <c r="H16" s="16" t="n"/>
    </row>
    <row r="17" ht="30" customHeight="1" s="33">
      <c r="A17" s="17" t="inlineStr">
        <is>
          <t>V8.4</t>
        </is>
      </c>
      <c r="B17" s="17" t="inlineStr">
        <is>
          <t>Other Authorization Considerations</t>
        </is>
      </c>
      <c r="C17" s="18" t="inlineStr">
        <is>
          <t>V8.4.1</t>
        </is>
      </c>
      <c r="D17" s="19" t="inlineStr">
        <is>
          <t>Verify that multi-tenant applications use cross-tenant controls to ensure consumer operations will never affect tenants with which they do not have permissions to interact.</t>
        </is>
      </c>
      <c r="E17" s="20" t="n">
        <v>2</v>
      </c>
      <c r="F17" s="21" t="inlineStr">
        <is>
          <t>Not Started</t>
        </is>
      </c>
      <c r="G17" s="19" t="inlineStr">
        <is>
          <t>[RF02] Queries ao SQL Server têm de filtrar sempre pelo utilizador autenticado</t>
        </is>
      </c>
      <c r="H17" s="19" t="n"/>
    </row>
    <row r="18" ht="30" customHeight="1" s="33">
      <c r="A18" s="22" t="inlineStr">
        <is>
          <t>V8.4</t>
        </is>
      </c>
      <c r="B18" s="22" t="inlineStr">
        <is>
          <t>Other Authorization Considerations</t>
        </is>
      </c>
      <c r="C18" s="23" t="inlineStr">
        <is>
          <t>V8.4.2</t>
        </is>
      </c>
      <c r="D18" s="24"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26" t="n">
        <v>3</v>
      </c>
      <c r="F18" s="21" t="inlineStr">
        <is>
          <t>Not Started</t>
        </is>
      </c>
      <c r="G18" s="24" t="n"/>
      <c r="H18" s="24"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sheetPr>
    <outlinePr summaryBelow="1" summaryRight="1"/>
    <pageSetUpPr/>
  </sheetPr>
  <dimension ref="A1:H10"/>
  <sheetViews>
    <sheetView zoomScale="75" zoomScaleNormal="75" workbookViewId="0">
      <pane ySplit="1" topLeftCell="A2" activePane="bottomLeft" state="frozen"/>
      <selection pane="bottomLeft" activeCell="F5" sqref="F5"/>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V9.1</t>
        </is>
      </c>
      <c r="B2" s="16" t="inlineStr">
        <is>
          <t>Token source and integrity</t>
        </is>
      </c>
      <c r="C2" s="16" t="n"/>
      <c r="D2" s="16" t="n"/>
      <c r="E2" s="16" t="n"/>
      <c r="F2" s="16" t="n"/>
      <c r="G2" s="16" t="n"/>
      <c r="H2" s="16" t="n"/>
    </row>
    <row r="3" ht="30" customHeight="1" s="33">
      <c r="A3" s="17" t="inlineStr">
        <is>
          <t>V9.1</t>
        </is>
      </c>
      <c r="B3" s="17" t="inlineStr">
        <is>
          <t>Token source and integrity</t>
        </is>
      </c>
      <c r="C3" s="18" t="inlineStr">
        <is>
          <t>V9.1.1</t>
        </is>
      </c>
      <c r="D3" s="19" t="inlineStr">
        <is>
          <t>Verify that self-contained tokens are validated using their digital signature or MAC to protect against tampering before accepting the token's contents.</t>
        </is>
      </c>
      <c r="E3" s="25" t="n">
        <v>1</v>
      </c>
      <c r="F3" s="21" t="inlineStr">
        <is>
          <t>Not Started</t>
        </is>
      </c>
      <c r="G3" s="19" t="inlineStr">
        <is>
          <t>[RF01] RF01: JWT validado por assinatura HMAC-SHA256 antes de aceitar quaisquer claims. Middleware configurado com ValidateIssuerSigningKey=true. Mitigação direta de T1.4 (manipulação de claims).</t>
        </is>
      </c>
      <c r="H3" s="19" t="n"/>
    </row>
    <row r="4" ht="30" customHeight="1" s="33">
      <c r="A4" s="22" t="inlineStr">
        <is>
          <t>V9.1</t>
        </is>
      </c>
      <c r="B4" s="22" t="inlineStr">
        <is>
          <t>Token source and integrity</t>
        </is>
      </c>
      <c r="C4" s="23" t="inlineStr">
        <is>
          <t>V9.1.2</t>
        </is>
      </c>
      <c r="D4" s="24"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25" t="n">
        <v>1</v>
      </c>
      <c r="F4" s="21" t="inlineStr">
        <is>
          <t>Not Started</t>
        </is>
      </c>
      <c r="G4" s="24" t="inlineStr">
        <is>
          <t>[RF01] RF01: Allowlist de algoritmos configurada no middleware — apenas HS256 aceite. Algoritmo "none" explicitamente rejeitado. Mitigação direta de T1.4 (ThreatId seção A) e T1.2.</t>
        </is>
      </c>
      <c r="H4" s="24" t="n"/>
    </row>
    <row r="5" ht="30" customHeight="1" s="33">
      <c r="A5" s="17" t="inlineStr">
        <is>
          <t>V9.1</t>
        </is>
      </c>
      <c r="B5" s="17" t="inlineStr">
        <is>
          <t>Token source and integrity</t>
        </is>
      </c>
      <c r="C5" s="18" t="inlineStr">
        <is>
          <t>V9.1.3</t>
        </is>
      </c>
      <c r="D5" s="19"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25" t="n">
        <v>1</v>
      </c>
      <c r="F5" s="21" t="inlineStr">
        <is>
          <t>Not Started</t>
        </is>
      </c>
      <c r="G5" s="19" t="inlineStr">
        <is>
          <t>[RF01] RF01: Chave de assinatura JWT obtida exclusivamente do HashiCorp Vault, acedida via Managed Identity. Nunca hardcoded no código-fonte. Mitiga T1.2 e T1.6.
[RF02] API deve  validar a origem dos JWT garantindo integridade</t>
        </is>
      </c>
      <c r="H5" s="19" t="n"/>
    </row>
    <row r="6" ht="18" customHeight="1" s="33">
      <c r="A6" s="16" t="inlineStr">
        <is>
          <t>V9.2</t>
        </is>
      </c>
      <c r="B6" s="16" t="inlineStr">
        <is>
          <t>Token content</t>
        </is>
      </c>
      <c r="C6" s="16" t="n"/>
      <c r="D6" s="16" t="n"/>
      <c r="E6" s="16" t="n"/>
      <c r="F6" s="16" t="n"/>
      <c r="G6" s="16" t="n"/>
      <c r="H6" s="16" t="n"/>
    </row>
    <row r="7" ht="30" customHeight="1" s="33">
      <c r="A7" s="17" t="inlineStr">
        <is>
          <t>V9.2</t>
        </is>
      </c>
      <c r="B7" s="17" t="inlineStr">
        <is>
          <t>Token content</t>
        </is>
      </c>
      <c r="C7" s="18" t="inlineStr">
        <is>
          <t>V9.2.1</t>
        </is>
      </c>
      <c r="D7" s="19" t="inlineStr">
        <is>
          <t>Verify that, if a validity time span is present in the token data, the token and its content are accepted only if the verification time is within this validity time span. For example, for JWTs, the claims 'nbf' and 'exp' must be verified.</t>
        </is>
      </c>
      <c r="E7" s="25" t="n">
        <v>1</v>
      </c>
      <c r="F7" s="21" t="inlineStr">
        <is>
          <t>Not Started</t>
        </is>
      </c>
      <c r="G7" s="19" t="inlineStr">
        <is>
          <t>[RF01] RF01: Claim "exp" validada obrigatoriamente no middleware JwtBearer (ValidateLifetime=true). Tokens expirados são rejeitados com HTTP 401.
[RF02] Os tokens devem ter periodo de validade</t>
        </is>
      </c>
      <c r="H7" s="19" t="n"/>
    </row>
    <row r="8" ht="30" customHeight="1" s="33">
      <c r="A8" s="22" t="inlineStr">
        <is>
          <t>V9.2</t>
        </is>
      </c>
      <c r="B8" s="22" t="inlineStr">
        <is>
          <t>Token content</t>
        </is>
      </c>
      <c r="C8" s="23" t="inlineStr">
        <is>
          <t>V9.2.2</t>
        </is>
      </c>
      <c r="D8" s="24"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20" t="n">
        <v>2</v>
      </c>
      <c r="F8" s="21" t="inlineStr">
        <is>
          <t>Not Started</t>
        </is>
      </c>
      <c r="G8" s="24" t="inlineStr">
        <is>
          <t>[RF01] RF01: Tipo de token validado via claim "typ"=JWT. Claim "role" verificada no endpoint de acordo com contexto. Previne uso de tokens em contexto não pretendido.
[RF02] Apenas tokens de acesso devem ser aceites dado o teor das operações deste RF</t>
        </is>
      </c>
      <c r="H8" s="24" t="n"/>
    </row>
    <row r="9" ht="30" customHeight="1" s="33">
      <c r="A9" s="17" t="inlineStr">
        <is>
          <t>V9.2</t>
        </is>
      </c>
      <c r="B9" s="17" t="inlineStr">
        <is>
          <t>Token content</t>
        </is>
      </c>
      <c r="C9" s="18" t="inlineStr">
        <is>
          <t>V9.2.3</t>
        </is>
      </c>
      <c r="D9" s="19" t="inlineStr">
        <is>
          <t>Verify that the service only accepts tokens which are intended for use with that service (audience). For JWTs, this can be achieved by validating the 'aud' claim against an allowlist defined in the service.</t>
        </is>
      </c>
      <c r="E9" s="20" t="n">
        <v>2</v>
      </c>
      <c r="F9" s="21" t="inlineStr">
        <is>
          <t>Not Started</t>
        </is>
      </c>
      <c r="G9" s="19" t="inlineStr">
        <is>
          <t>[RF01] RF01: Claim "aud" (audience) validada obrigatoriamente — apenas tokens com aud="LawyerApp.API" são aceites. Configuração: ValidateAudience=true, ValidIssuer="LawyerApp.Auth".
[RF02] API deve verificar se cada JWT foi emitido para este RF</t>
        </is>
      </c>
      <c r="H9" s="19" t="n"/>
    </row>
    <row r="10" ht="30" customHeight="1" s="33">
      <c r="A10" s="22" t="inlineStr">
        <is>
          <t>V9.2</t>
        </is>
      </c>
      <c r="B10" s="22" t="inlineStr">
        <is>
          <t>Token content</t>
        </is>
      </c>
      <c r="C10" s="23" t="inlineStr">
        <is>
          <t>V9.2.4</t>
        </is>
      </c>
      <c r="D10" s="24"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20" t="n">
        <v>2</v>
      </c>
      <c r="F10" s="21" t="inlineStr">
        <is>
          <t>Not Started</t>
        </is>
      </c>
      <c r="G10" s="24" t="n"/>
      <c r="H10" s="24" t="n"/>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sheetPr>
    <outlinePr summaryBelow="1" summaryRight="1"/>
    <pageSetUpPr/>
  </sheetPr>
  <dimension ref="A1:H44"/>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V10.1</t>
        </is>
      </c>
      <c r="B2" s="16" t="inlineStr">
        <is>
          <t>Generic OAuth and OIDC Security</t>
        </is>
      </c>
      <c r="C2" s="16" t="n"/>
      <c r="D2" s="16" t="n"/>
      <c r="E2" s="16" t="n"/>
      <c r="F2" s="16" t="n"/>
      <c r="G2" s="16" t="n"/>
      <c r="H2" s="16" t="n"/>
    </row>
    <row r="3" ht="30" customHeight="1" s="33">
      <c r="A3" s="17" t="inlineStr">
        <is>
          <t>V10.1</t>
        </is>
      </c>
      <c r="B3" s="17" t="inlineStr">
        <is>
          <t>Generic OAuth and OIDC Security</t>
        </is>
      </c>
      <c r="C3" s="18" t="inlineStr">
        <is>
          <t>V10.1.1</t>
        </is>
      </c>
      <c r="D3" s="19" t="inlineStr">
        <is>
          <t>Verify that tokens are only sent to components that strictly need them. For example, when using a backend-for-frontend pattern for browser-based JavaScript applications, access and refresh tokens shall only be accessible for the backend.</t>
        </is>
      </c>
      <c r="E3" s="20" t="n">
        <v>2</v>
      </c>
      <c r="F3" s="21" t="inlineStr">
        <is>
          <t>Not Started</t>
        </is>
      </c>
      <c r="G3" s="19" t="n"/>
      <c r="H3" s="19" t="n"/>
    </row>
    <row r="4" ht="30" customHeight="1" s="33">
      <c r="A4" s="22" t="inlineStr">
        <is>
          <t>V10.1</t>
        </is>
      </c>
      <c r="B4" s="22" t="inlineStr">
        <is>
          <t>Generic OAuth and OIDC Security</t>
        </is>
      </c>
      <c r="C4" s="23" t="inlineStr">
        <is>
          <t>V10.1.2</t>
        </is>
      </c>
      <c r="D4" s="24"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20" t="n">
        <v>2</v>
      </c>
      <c r="F4" s="21" t="inlineStr">
        <is>
          <t>Not Started</t>
        </is>
      </c>
      <c r="G4" s="24" t="n"/>
      <c r="H4" s="24" t="n"/>
    </row>
    <row r="5" ht="18" customHeight="1" s="33">
      <c r="A5" s="16" t="inlineStr">
        <is>
          <t>V10.2</t>
        </is>
      </c>
      <c r="B5" s="16" t="inlineStr">
        <is>
          <t>OAuth Client</t>
        </is>
      </c>
      <c r="C5" s="16" t="n"/>
      <c r="D5" s="16" t="n"/>
      <c r="E5" s="16" t="n"/>
      <c r="F5" s="16" t="n"/>
      <c r="G5" s="16" t="n"/>
      <c r="H5" s="16" t="n"/>
    </row>
    <row r="6" ht="30" customHeight="1" s="33">
      <c r="A6" s="17" t="inlineStr">
        <is>
          <t>V10.2</t>
        </is>
      </c>
      <c r="B6" s="17" t="inlineStr">
        <is>
          <t>OAuth Client</t>
        </is>
      </c>
      <c r="C6" s="18" t="inlineStr">
        <is>
          <t>V10.2.1</t>
        </is>
      </c>
      <c r="D6" s="19"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20" t="n">
        <v>2</v>
      </c>
      <c r="F6" s="21" t="inlineStr">
        <is>
          <t>Not Started</t>
        </is>
      </c>
      <c r="G6" s="19" t="n"/>
      <c r="H6" s="19" t="n"/>
    </row>
    <row r="7" ht="30" customHeight="1" s="33">
      <c r="A7" s="22" t="inlineStr">
        <is>
          <t>V10.2</t>
        </is>
      </c>
      <c r="B7" s="22" t="inlineStr">
        <is>
          <t>OAuth Client</t>
        </is>
      </c>
      <c r="C7" s="23" t="inlineStr">
        <is>
          <t>V10.2.2</t>
        </is>
      </c>
      <c r="D7" s="24"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20" t="n">
        <v>2</v>
      </c>
      <c r="F7" s="21" t="inlineStr">
        <is>
          <t>Not Started</t>
        </is>
      </c>
      <c r="G7" s="24" t="n"/>
      <c r="H7" s="24" t="n"/>
    </row>
    <row r="8" ht="30" customHeight="1" s="33">
      <c r="A8" s="17" t="inlineStr">
        <is>
          <t>V10.2</t>
        </is>
      </c>
      <c r="B8" s="17" t="inlineStr">
        <is>
          <t>OAuth Client</t>
        </is>
      </c>
      <c r="C8" s="18" t="inlineStr">
        <is>
          <t>V10.2.3</t>
        </is>
      </c>
      <c r="D8" s="19" t="inlineStr">
        <is>
          <t>Verify that the OAuth client only requests the required scopes (or other authorization parameters) in requests to the authorization server.</t>
        </is>
      </c>
      <c r="E8" s="26" t="n">
        <v>3</v>
      </c>
      <c r="F8" s="21" t="inlineStr">
        <is>
          <t>Not Started</t>
        </is>
      </c>
      <c r="G8" s="19" t="n"/>
      <c r="H8" s="19" t="n"/>
    </row>
    <row r="9" ht="18" customHeight="1" s="33">
      <c r="A9" s="16" t="inlineStr">
        <is>
          <t>V10.3</t>
        </is>
      </c>
      <c r="B9" s="16" t="inlineStr">
        <is>
          <t>OAuth Resource Server</t>
        </is>
      </c>
      <c r="C9" s="16" t="n"/>
      <c r="D9" s="16" t="n"/>
      <c r="E9" s="16" t="n"/>
      <c r="F9" s="16" t="n"/>
      <c r="G9" s="16" t="n"/>
      <c r="H9" s="16" t="n"/>
    </row>
    <row r="10" ht="30" customHeight="1" s="33">
      <c r="A10" s="17" t="inlineStr">
        <is>
          <t>V10.3</t>
        </is>
      </c>
      <c r="B10" s="17" t="inlineStr">
        <is>
          <t>OAuth Resource Server</t>
        </is>
      </c>
      <c r="C10" s="18" t="inlineStr">
        <is>
          <t>V10.3.1</t>
        </is>
      </c>
      <c r="D10" s="19"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20" t="n">
        <v>2</v>
      </c>
      <c r="F10" s="21" t="inlineStr">
        <is>
          <t>Not Started</t>
        </is>
      </c>
      <c r="G10" s="19" t="n"/>
      <c r="H10" s="19" t="n"/>
    </row>
    <row r="11" ht="30" customHeight="1" s="33">
      <c r="A11" s="22" t="inlineStr">
        <is>
          <t>V10.3</t>
        </is>
      </c>
      <c r="B11" s="22" t="inlineStr">
        <is>
          <t>OAuth Resource Server</t>
        </is>
      </c>
      <c r="C11" s="23" t="inlineStr">
        <is>
          <t>V10.3.2</t>
        </is>
      </c>
      <c r="D11" s="24" t="inlineStr">
        <is>
          <t>Verify that the resource server enforces authorization decisions based on claims from the access token that define delegated authorization. If claims such as 'sub', 'scope', and 'authorization_details' are present, they must be part of the decision.</t>
        </is>
      </c>
      <c r="E11" s="20" t="n">
        <v>2</v>
      </c>
      <c r="F11" s="21" t="inlineStr">
        <is>
          <t>Not Started</t>
        </is>
      </c>
      <c r="G11" s="24" t="n"/>
      <c r="H11" s="24" t="n"/>
    </row>
    <row r="12" ht="30" customHeight="1" s="33">
      <c r="A12" s="17" t="inlineStr">
        <is>
          <t>V10.3</t>
        </is>
      </c>
      <c r="B12" s="17" t="inlineStr">
        <is>
          <t>OAuth Resource Server</t>
        </is>
      </c>
      <c r="C12" s="18" t="inlineStr">
        <is>
          <t>V10.3.3</t>
        </is>
      </c>
      <c r="D12" s="19"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20" t="n">
        <v>2</v>
      </c>
      <c r="F12" s="21" t="inlineStr">
        <is>
          <t>Not Started</t>
        </is>
      </c>
      <c r="G12" s="19" t="n"/>
      <c r="H12" s="19" t="n"/>
    </row>
    <row r="13" ht="30" customHeight="1" s="33">
      <c r="A13" s="22" t="inlineStr">
        <is>
          <t>V10.3</t>
        </is>
      </c>
      <c r="B13" s="22" t="inlineStr">
        <is>
          <t>OAuth Resource Server</t>
        </is>
      </c>
      <c r="C13" s="23" t="inlineStr">
        <is>
          <t>V10.3.4</t>
        </is>
      </c>
      <c r="D13" s="24"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20" t="n">
        <v>2</v>
      </c>
      <c r="F13" s="21" t="inlineStr">
        <is>
          <t>Not Started</t>
        </is>
      </c>
      <c r="G13" s="24" t="n"/>
      <c r="H13" s="24" t="n"/>
    </row>
    <row r="14" ht="30" customHeight="1" s="33">
      <c r="A14" s="17" t="inlineStr">
        <is>
          <t>V10.3</t>
        </is>
      </c>
      <c r="B14" s="17" t="inlineStr">
        <is>
          <t>OAuth Resource Server</t>
        </is>
      </c>
      <c r="C14" s="18" t="inlineStr">
        <is>
          <t>V10.3.5</t>
        </is>
      </c>
      <c r="D14" s="19"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26" t="n">
        <v>3</v>
      </c>
      <c r="F14" s="21" t="inlineStr">
        <is>
          <t>Not Started</t>
        </is>
      </c>
      <c r="G14" s="19" t="n"/>
      <c r="H14" s="19" t="n"/>
    </row>
    <row r="15" ht="18" customHeight="1" s="33">
      <c r="A15" s="16" t="inlineStr">
        <is>
          <t>V10.4</t>
        </is>
      </c>
      <c r="B15" s="16" t="inlineStr">
        <is>
          <t>OAuth Authorization Server</t>
        </is>
      </c>
      <c r="C15" s="16" t="n"/>
      <c r="D15" s="16" t="n"/>
      <c r="E15" s="16" t="n"/>
      <c r="F15" s="16" t="n"/>
      <c r="G15" s="16" t="n"/>
      <c r="H15" s="16" t="n"/>
    </row>
    <row r="16" ht="30" customHeight="1" s="33">
      <c r="A16" s="17" t="inlineStr">
        <is>
          <t>V10.4</t>
        </is>
      </c>
      <c r="B16" s="17" t="inlineStr">
        <is>
          <t>OAuth Authorization Server</t>
        </is>
      </c>
      <c r="C16" s="18" t="inlineStr">
        <is>
          <t>V10.4.1</t>
        </is>
      </c>
      <c r="D16" s="19" t="inlineStr">
        <is>
          <t>Verify that the authorization server validates redirect URIs based on a client-specific allowlist of pre-registered URIs using exact string comparison.</t>
        </is>
      </c>
      <c r="E16" s="25" t="n">
        <v>1</v>
      </c>
      <c r="F16" s="21" t="inlineStr">
        <is>
          <t>Not Started</t>
        </is>
      </c>
      <c r="G16" s="19" t="n"/>
      <c r="H16" s="19" t="n"/>
    </row>
    <row r="17" ht="30" customHeight="1" s="33">
      <c r="A17" s="22" t="inlineStr">
        <is>
          <t>V10.4</t>
        </is>
      </c>
      <c r="B17" s="22" t="inlineStr">
        <is>
          <t>OAuth Authorization Server</t>
        </is>
      </c>
      <c r="C17" s="23" t="inlineStr">
        <is>
          <t>V10.4.2</t>
        </is>
      </c>
      <c r="D17" s="24"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25" t="n">
        <v>1</v>
      </c>
      <c r="F17" s="21" t="inlineStr">
        <is>
          <t>Not Started</t>
        </is>
      </c>
      <c r="G17" s="24" t="n"/>
      <c r="H17" s="24" t="n"/>
    </row>
    <row r="18" ht="30" customHeight="1" s="33">
      <c r="A18" s="17" t="inlineStr">
        <is>
          <t>V10.4</t>
        </is>
      </c>
      <c r="B18" s="17" t="inlineStr">
        <is>
          <t>OAuth Authorization Server</t>
        </is>
      </c>
      <c r="C18" s="18" t="inlineStr">
        <is>
          <t>V10.4.3</t>
        </is>
      </c>
      <c r="D18" s="19" t="inlineStr">
        <is>
          <t>Verify that the authorization code is short-lived. The maximum lifetime can be up to 10 minutes for L1 and L2 applications and up to 1 minute for L3 applications.</t>
        </is>
      </c>
      <c r="E18" s="25" t="n">
        <v>1</v>
      </c>
      <c r="F18" s="21" t="inlineStr">
        <is>
          <t>Not Started</t>
        </is>
      </c>
      <c r="G18" s="19" t="n"/>
      <c r="H18" s="19" t="n"/>
    </row>
    <row r="19" ht="30" customHeight="1" s="33">
      <c r="A19" s="22" t="inlineStr">
        <is>
          <t>V10.4</t>
        </is>
      </c>
      <c r="B19" s="22" t="inlineStr">
        <is>
          <t>OAuth Authorization Server</t>
        </is>
      </c>
      <c r="C19" s="23" t="inlineStr">
        <is>
          <t>V10.4.4</t>
        </is>
      </c>
      <c r="D19" s="24" t="inlineStr">
        <is>
          <t>Verify that for a given client, the authorization server only allows the usage of grants that this client needs to use. Note that the grants 'token' (Implicit flow) and 'password' (Resource Owner Password Credentials flow) must no longer be used.</t>
        </is>
      </c>
      <c r="E19" s="25" t="n">
        <v>1</v>
      </c>
      <c r="F19" s="21" t="inlineStr">
        <is>
          <t>Not Started</t>
        </is>
      </c>
      <c r="G19" s="24" t="n"/>
      <c r="H19" s="24" t="n"/>
    </row>
    <row r="20" ht="30" customHeight="1" s="33">
      <c r="A20" s="17" t="inlineStr">
        <is>
          <t>V10.4</t>
        </is>
      </c>
      <c r="B20" s="17" t="inlineStr">
        <is>
          <t>OAuth Authorization Server</t>
        </is>
      </c>
      <c r="C20" s="18" t="inlineStr">
        <is>
          <t>V10.4.5</t>
        </is>
      </c>
      <c r="D20" s="19"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25" t="n">
        <v>1</v>
      </c>
      <c r="F20" s="21" t="inlineStr">
        <is>
          <t>Not Started</t>
        </is>
      </c>
      <c r="G20" s="19" t="n"/>
      <c r="H20" s="19" t="n"/>
    </row>
    <row r="21" ht="30" customHeight="1" s="33">
      <c r="A21" s="22" t="inlineStr">
        <is>
          <t>V10.4</t>
        </is>
      </c>
      <c r="B21" s="22" t="inlineStr">
        <is>
          <t>OAuth Authorization Server</t>
        </is>
      </c>
      <c r="C21" s="23" t="inlineStr">
        <is>
          <t>V10.4.6</t>
        </is>
      </c>
      <c r="D21" s="24"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20" t="n">
        <v>2</v>
      </c>
      <c r="F21" s="21" t="inlineStr">
        <is>
          <t>Not Started</t>
        </is>
      </c>
      <c r="G21" s="24" t="n"/>
      <c r="H21" s="24" t="n"/>
    </row>
    <row r="22" ht="30" customHeight="1" s="33">
      <c r="A22" s="17" t="inlineStr">
        <is>
          <t>V10.4</t>
        </is>
      </c>
      <c r="B22" s="17" t="inlineStr">
        <is>
          <t>OAuth Authorization Server</t>
        </is>
      </c>
      <c r="C22" s="18" t="inlineStr">
        <is>
          <t>V10.4.7</t>
        </is>
      </c>
      <c r="D22" s="19"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20" t="n">
        <v>2</v>
      </c>
      <c r="F22" s="21" t="inlineStr">
        <is>
          <t>Not Started</t>
        </is>
      </c>
      <c r="G22" s="19" t="n"/>
      <c r="H22" s="19" t="n"/>
    </row>
    <row r="23" ht="30" customHeight="1" s="33">
      <c r="A23" s="22" t="inlineStr">
        <is>
          <t>V10.4</t>
        </is>
      </c>
      <c r="B23" s="22" t="inlineStr">
        <is>
          <t>OAuth Authorization Server</t>
        </is>
      </c>
      <c r="C23" s="23" t="inlineStr">
        <is>
          <t>V10.4.8</t>
        </is>
      </c>
      <c r="D23" s="24" t="inlineStr">
        <is>
          <t>Verify that refresh tokens have an absolute expiration, including if sliding refresh token expiration is applied.</t>
        </is>
      </c>
      <c r="E23" s="20" t="n">
        <v>2</v>
      </c>
      <c r="F23" s="21" t="inlineStr">
        <is>
          <t>Not Started</t>
        </is>
      </c>
      <c r="G23" s="24" t="n"/>
      <c r="H23" s="24" t="n"/>
    </row>
    <row r="24" ht="30" customHeight="1" s="33">
      <c r="A24" s="17" t="inlineStr">
        <is>
          <t>V10.4</t>
        </is>
      </c>
      <c r="B24" s="17" t="inlineStr">
        <is>
          <t>OAuth Authorization Server</t>
        </is>
      </c>
      <c r="C24" s="18" t="inlineStr">
        <is>
          <t>V10.4.9</t>
        </is>
      </c>
      <c r="D24" s="19" t="inlineStr">
        <is>
          <t>Verify that refresh tokens and reference access tokens can be revoked by an authorized user using the authorization server user interface, to mitigate the risk of malicious clients or stolen tokens.</t>
        </is>
      </c>
      <c r="E24" s="20" t="n">
        <v>2</v>
      </c>
      <c r="F24" s="21" t="inlineStr">
        <is>
          <t>Not Started</t>
        </is>
      </c>
      <c r="G24" s="19" t="n"/>
      <c r="H24" s="19" t="n"/>
    </row>
    <row r="25" ht="30" customHeight="1" s="33">
      <c r="A25" s="22" t="inlineStr">
        <is>
          <t>V10.4</t>
        </is>
      </c>
      <c r="B25" s="22" t="inlineStr">
        <is>
          <t>OAuth Authorization Server</t>
        </is>
      </c>
      <c r="C25" s="23" t="inlineStr">
        <is>
          <t>V10.4.10</t>
        </is>
      </c>
      <c r="D25" s="24" t="inlineStr">
        <is>
          <t>Verify that confidential client is authenticated for client-to-authorized server backchannel requests such as token requests, pushed authorization requests (PAR), and token revocation requests.</t>
        </is>
      </c>
      <c r="E25" s="20" t="n">
        <v>2</v>
      </c>
      <c r="F25" s="21" t="inlineStr">
        <is>
          <t>Not Started</t>
        </is>
      </c>
      <c r="G25" s="24" t="n"/>
      <c r="H25" s="24" t="n"/>
    </row>
    <row r="26" ht="30" customHeight="1" s="33">
      <c r="A26" s="17" t="inlineStr">
        <is>
          <t>V10.4</t>
        </is>
      </c>
      <c r="B26" s="17" t="inlineStr">
        <is>
          <t>OAuth Authorization Server</t>
        </is>
      </c>
      <c r="C26" s="18" t="inlineStr">
        <is>
          <t>V10.4.11</t>
        </is>
      </c>
      <c r="D26" s="19" t="inlineStr">
        <is>
          <t>Verify that the authorization server configuration only assigns the required scopes to the OAuth client.</t>
        </is>
      </c>
      <c r="E26" s="20" t="n">
        <v>2</v>
      </c>
      <c r="F26" s="21" t="inlineStr">
        <is>
          <t>Not Started</t>
        </is>
      </c>
      <c r="G26" s="19" t="n"/>
      <c r="H26" s="19" t="n"/>
    </row>
    <row r="27" ht="30" customHeight="1" s="33">
      <c r="A27" s="22" t="inlineStr">
        <is>
          <t>V10.4</t>
        </is>
      </c>
      <c r="B27" s="22" t="inlineStr">
        <is>
          <t>OAuth Authorization Server</t>
        </is>
      </c>
      <c r="C27" s="23" t="inlineStr">
        <is>
          <t>V10.4.12</t>
        </is>
      </c>
      <c r="D27" s="24"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26" t="n">
        <v>3</v>
      </c>
      <c r="F27" s="21" t="inlineStr">
        <is>
          <t>Not Started</t>
        </is>
      </c>
      <c r="G27" s="24" t="n"/>
      <c r="H27" s="24" t="n"/>
    </row>
    <row r="28" ht="30" customHeight="1" s="33">
      <c r="A28" s="17" t="inlineStr">
        <is>
          <t>V10.4</t>
        </is>
      </c>
      <c r="B28" s="17" t="inlineStr">
        <is>
          <t>OAuth Authorization Server</t>
        </is>
      </c>
      <c r="C28" s="18" t="inlineStr">
        <is>
          <t>V10.4.13</t>
        </is>
      </c>
      <c r="D28" s="19" t="inlineStr">
        <is>
          <t>Verify that grant type 'code' is always used together with pushed authorization requests (PAR).</t>
        </is>
      </c>
      <c r="E28" s="26" t="n">
        <v>3</v>
      </c>
      <c r="F28" s="21" t="inlineStr">
        <is>
          <t>Not Started</t>
        </is>
      </c>
      <c r="G28" s="19" t="n"/>
      <c r="H28" s="19" t="n"/>
    </row>
    <row r="29" ht="30" customHeight="1" s="33">
      <c r="A29" s="22" t="inlineStr">
        <is>
          <t>V10.4</t>
        </is>
      </c>
      <c r="B29" s="22" t="inlineStr">
        <is>
          <t>OAuth Authorization Server</t>
        </is>
      </c>
      <c r="C29" s="23" t="inlineStr">
        <is>
          <t>V10.4.14</t>
        </is>
      </c>
      <c r="D29" s="24" t="inlineStr">
        <is>
          <t>Verify that the authorization server issues only sender-constrained (Proof-of-Possession) access tokens, either with certificate-bound access tokens using mutual TLS (mTLS) or DPoP-bound access tokens (Demonstration of Proof of Possession).</t>
        </is>
      </c>
      <c r="E29" s="26" t="n">
        <v>3</v>
      </c>
      <c r="F29" s="21" t="inlineStr">
        <is>
          <t>Not Started</t>
        </is>
      </c>
      <c r="G29" s="24" t="n"/>
      <c r="H29" s="24" t="n"/>
    </row>
    <row r="30" ht="30" customHeight="1" s="33">
      <c r="A30" s="17" t="inlineStr">
        <is>
          <t>V10.4</t>
        </is>
      </c>
      <c r="B30" s="17" t="inlineStr">
        <is>
          <t>OAuth Authorization Server</t>
        </is>
      </c>
      <c r="C30" s="18" t="inlineStr">
        <is>
          <t>V10.4.15</t>
        </is>
      </c>
      <c r="D30" s="19"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26" t="n">
        <v>3</v>
      </c>
      <c r="F30" s="21" t="inlineStr">
        <is>
          <t>Not Started</t>
        </is>
      </c>
      <c r="G30" s="19" t="n"/>
      <c r="H30" s="19" t="n"/>
    </row>
    <row r="31" ht="30" customHeight="1" s="33">
      <c r="A31" s="22" t="inlineStr">
        <is>
          <t>V10.4</t>
        </is>
      </c>
      <c r="B31" s="22" t="inlineStr">
        <is>
          <t>OAuth Authorization Server</t>
        </is>
      </c>
      <c r="C31" s="23" t="inlineStr">
        <is>
          <t>V10.4.16</t>
        </is>
      </c>
      <c r="D31" s="24"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26" t="n">
        <v>3</v>
      </c>
      <c r="F31" s="21" t="inlineStr">
        <is>
          <t>Not Started</t>
        </is>
      </c>
      <c r="G31" s="24" t="n"/>
      <c r="H31" s="24" t="n"/>
    </row>
    <row r="32" ht="18" customHeight="1" s="33">
      <c r="A32" s="16" t="inlineStr">
        <is>
          <t>V10.5</t>
        </is>
      </c>
      <c r="B32" s="16" t="inlineStr">
        <is>
          <t>OIDC Client</t>
        </is>
      </c>
      <c r="C32" s="16" t="n"/>
      <c r="D32" s="16" t="n"/>
      <c r="E32" s="16" t="n"/>
      <c r="F32" s="16" t="n"/>
      <c r="G32" s="16" t="n"/>
      <c r="H32" s="16" t="n"/>
    </row>
    <row r="33" ht="30" customHeight="1" s="33">
      <c r="A33" s="17" t="inlineStr">
        <is>
          <t>V10.5</t>
        </is>
      </c>
      <c r="B33" s="17" t="inlineStr">
        <is>
          <t>OIDC Client</t>
        </is>
      </c>
      <c r="C33" s="18" t="inlineStr">
        <is>
          <t>V10.5.1</t>
        </is>
      </c>
      <c r="D33" s="19"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20" t="n">
        <v>2</v>
      </c>
      <c r="F33" s="21" t="inlineStr">
        <is>
          <t>Not Started</t>
        </is>
      </c>
      <c r="G33" s="19" t="n"/>
      <c r="H33" s="19" t="n"/>
    </row>
    <row r="34" ht="30" customHeight="1" s="33">
      <c r="A34" s="22" t="inlineStr">
        <is>
          <t>V10.5</t>
        </is>
      </c>
      <c r="B34" s="22" t="inlineStr">
        <is>
          <t>OIDC Client</t>
        </is>
      </c>
      <c r="C34" s="23" t="inlineStr">
        <is>
          <t>V10.5.2</t>
        </is>
      </c>
      <c r="D34" s="24" t="inlineStr">
        <is>
          <t>Verify that the client uniquely identifies the user from ID Token claims, usually the 'sub' claim, which cannot be reassigned to other users (for the scope of an identity provider).</t>
        </is>
      </c>
      <c r="E34" s="20" t="n">
        <v>2</v>
      </c>
      <c r="F34" s="21" t="inlineStr">
        <is>
          <t>Not Started</t>
        </is>
      </c>
      <c r="G34" s="24" t="n"/>
      <c r="H34" s="24" t="n"/>
    </row>
    <row r="35" ht="30" customHeight="1" s="33">
      <c r="A35" s="17" t="inlineStr">
        <is>
          <t>V10.5</t>
        </is>
      </c>
      <c r="B35" s="17" t="inlineStr">
        <is>
          <t>OIDC Client</t>
        </is>
      </c>
      <c r="C35" s="18" t="inlineStr">
        <is>
          <t>V10.5.3</t>
        </is>
      </c>
      <c r="D35" s="19"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20" t="n">
        <v>2</v>
      </c>
      <c r="F35" s="21" t="inlineStr">
        <is>
          <t>Not Started</t>
        </is>
      </c>
      <c r="G35" s="19" t="n"/>
      <c r="H35" s="19" t="n"/>
    </row>
    <row r="36" ht="30" customHeight="1" s="33">
      <c r="A36" s="22" t="inlineStr">
        <is>
          <t>V10.5</t>
        </is>
      </c>
      <c r="B36" s="22" t="inlineStr">
        <is>
          <t>OIDC Client</t>
        </is>
      </c>
      <c r="C36" s="23" t="inlineStr">
        <is>
          <t>V10.5.4</t>
        </is>
      </c>
      <c r="D36" s="24" t="inlineStr">
        <is>
          <t>Verify that the client validates that the ID Token is intended to be used for that client (audience) by checking that the 'aud' claim from the token is equal to the 'client_id' value for the client.</t>
        </is>
      </c>
      <c r="E36" s="20" t="n">
        <v>2</v>
      </c>
      <c r="F36" s="21" t="inlineStr">
        <is>
          <t>Not Started</t>
        </is>
      </c>
      <c r="G36" s="24" t="n"/>
      <c r="H36" s="24" t="n"/>
    </row>
    <row r="37" ht="30" customHeight="1" s="33">
      <c r="A37" s="17" t="inlineStr">
        <is>
          <t>V10.5</t>
        </is>
      </c>
      <c r="B37" s="17" t="inlineStr">
        <is>
          <t>OIDC Client</t>
        </is>
      </c>
      <c r="C37" s="18" t="inlineStr">
        <is>
          <t>V10.5.5</t>
        </is>
      </c>
      <c r="D37" s="19"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20" t="n">
        <v>2</v>
      </c>
      <c r="F37" s="21" t="inlineStr">
        <is>
          <t>Not Started</t>
        </is>
      </c>
      <c r="G37" s="19" t="n"/>
      <c r="H37" s="19" t="n"/>
    </row>
    <row r="38" ht="18" customHeight="1" s="33">
      <c r="A38" s="16" t="inlineStr">
        <is>
          <t>V10.6</t>
        </is>
      </c>
      <c r="B38" s="16" t="inlineStr">
        <is>
          <t>OpenID Provider</t>
        </is>
      </c>
      <c r="C38" s="16" t="n"/>
      <c r="D38" s="16" t="n"/>
      <c r="E38" s="16" t="n"/>
      <c r="F38" s="16" t="n"/>
      <c r="G38" s="16" t="n"/>
      <c r="H38" s="16" t="n"/>
    </row>
    <row r="39" ht="30" customHeight="1" s="33">
      <c r="A39" s="17" t="inlineStr">
        <is>
          <t>V10.6</t>
        </is>
      </c>
      <c r="B39" s="17" t="inlineStr">
        <is>
          <t>OpenID Provider</t>
        </is>
      </c>
      <c r="C39" s="18" t="inlineStr">
        <is>
          <t>V10.6.1</t>
        </is>
      </c>
      <c r="D39" s="19" t="inlineStr">
        <is>
          <t>Verify that the OpenID Provider only allows values 'code', 'ciba', 'id_token', or 'id_token code' for response mode. Note that 'code' is preferred over 'id_token code' (the OIDC Hybrid flow), and 'token' (any Implicit flow) must not be used.</t>
        </is>
      </c>
      <c r="E39" s="20" t="n">
        <v>2</v>
      </c>
      <c r="F39" s="21" t="inlineStr">
        <is>
          <t>Not Started</t>
        </is>
      </c>
      <c r="G39" s="19" t="n"/>
      <c r="H39" s="19" t="n"/>
    </row>
    <row r="40" ht="30" customHeight="1" s="33">
      <c r="A40" s="22" t="inlineStr">
        <is>
          <t>V10.6</t>
        </is>
      </c>
      <c r="B40" s="22" t="inlineStr">
        <is>
          <t>OpenID Provider</t>
        </is>
      </c>
      <c r="C40" s="23" t="inlineStr">
        <is>
          <t>V10.6.2</t>
        </is>
      </c>
      <c r="D40" s="24" t="inlineStr">
        <is>
          <t>Verify that the OpenID Provider mitigates denial of service through forced logout. By obtaining explicit confirmation from the end-user or, if present, validating parameters in the logout request (initiated by the relying party), such as the 'id_token_hint'.</t>
        </is>
      </c>
      <c r="E40" s="20" t="n">
        <v>2</v>
      </c>
      <c r="F40" s="21" t="inlineStr">
        <is>
          <t>Not Started</t>
        </is>
      </c>
      <c r="G40" s="24" t="n"/>
      <c r="H40" s="24" t="n"/>
    </row>
    <row r="41" ht="18" customHeight="1" s="33">
      <c r="A41" s="16" t="inlineStr">
        <is>
          <t>V10.7</t>
        </is>
      </c>
      <c r="B41" s="16" t="inlineStr">
        <is>
          <t>Consent Management</t>
        </is>
      </c>
      <c r="C41" s="16" t="n"/>
      <c r="D41" s="16" t="n"/>
      <c r="E41" s="16" t="n"/>
      <c r="F41" s="16" t="n"/>
      <c r="G41" s="16" t="n"/>
      <c r="H41" s="16" t="n"/>
    </row>
    <row r="42" ht="30" customHeight="1" s="33">
      <c r="A42" s="17" t="inlineStr">
        <is>
          <t>V10.7</t>
        </is>
      </c>
      <c r="B42" s="17" t="inlineStr">
        <is>
          <t>Consent Management</t>
        </is>
      </c>
      <c r="C42" s="18" t="inlineStr">
        <is>
          <t>V10.7.1</t>
        </is>
      </c>
      <c r="D42" s="19" t="inlineStr">
        <is>
          <t>Verify that the authorization server ensures that the user consents to each authorization request. If the identity of the client cannot be assured, the authorization server must always explicitly prompt the user for consent.</t>
        </is>
      </c>
      <c r="E42" s="20" t="n">
        <v>2</v>
      </c>
      <c r="F42" s="21" t="inlineStr">
        <is>
          <t>Not Started</t>
        </is>
      </c>
      <c r="G42" s="19" t="n"/>
      <c r="H42" s="19" t="n"/>
    </row>
    <row r="43" ht="30" customHeight="1" s="33">
      <c r="A43" s="22" t="inlineStr">
        <is>
          <t>V10.7</t>
        </is>
      </c>
      <c r="B43" s="22" t="inlineStr">
        <is>
          <t>Consent Management</t>
        </is>
      </c>
      <c r="C43" s="23" t="inlineStr">
        <is>
          <t>V10.7.2</t>
        </is>
      </c>
      <c r="D43" s="24"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20" t="n">
        <v>2</v>
      </c>
      <c r="F43" s="21" t="inlineStr">
        <is>
          <t>Not Started</t>
        </is>
      </c>
      <c r="G43" s="24" t="n"/>
      <c r="H43" s="24" t="n"/>
    </row>
    <row r="44" ht="30" customHeight="1" s="33">
      <c r="A44" s="17" t="inlineStr">
        <is>
          <t>V10.7</t>
        </is>
      </c>
      <c r="B44" s="17" t="inlineStr">
        <is>
          <t>Consent Management</t>
        </is>
      </c>
      <c r="C44" s="18" t="inlineStr">
        <is>
          <t>V10.7.3</t>
        </is>
      </c>
      <c r="D44" s="19" t="inlineStr">
        <is>
          <t>Verify that the user can review, modify, and revoke consents which the user has granted through the authorization server.</t>
        </is>
      </c>
      <c r="E44" s="20" t="n">
        <v>2</v>
      </c>
      <c r="F44" s="21" t="inlineStr">
        <is>
          <t>Not Started</t>
        </is>
      </c>
      <c r="G44" s="19" t="n"/>
      <c r="H44" s="19" t="n"/>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sheetPr>
    <outlinePr summaryBelow="1" summaryRight="1"/>
    <pageSetUpPr/>
  </sheetPr>
  <dimension ref="A1:H32"/>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V11.1</t>
        </is>
      </c>
      <c r="B2" s="16" t="inlineStr">
        <is>
          <t>Cryptographic Inventory and Documentation</t>
        </is>
      </c>
      <c r="C2" s="16" t="n"/>
      <c r="D2" s="16" t="n"/>
      <c r="E2" s="16" t="n"/>
      <c r="F2" s="16" t="n"/>
      <c r="G2" s="16" t="n"/>
      <c r="H2" s="16" t="n"/>
    </row>
    <row r="3" ht="30" customHeight="1" s="33">
      <c r="A3" s="17" t="inlineStr">
        <is>
          <t>V11.1</t>
        </is>
      </c>
      <c r="B3" s="17" t="inlineStr">
        <is>
          <t>Cryptographic Inventory and Documentation</t>
        </is>
      </c>
      <c r="C3" s="18" t="inlineStr">
        <is>
          <t>V11.1.1</t>
        </is>
      </c>
      <c r="D3" s="19"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20" t="n">
        <v>2</v>
      </c>
      <c r="F3" s="21" t="inlineStr">
        <is>
          <t>Not Started</t>
        </is>
      </c>
      <c r="G3" s="19" t="inlineStr">
        <is>
          <t>[RF02] O .NET cifra os documentos antes de os guardar no SQL Server. É preciso uma política documentada de gestão das chaves AES
[RF03] Projeto: Política de gestão de chaves documentada.</t>
        </is>
      </c>
      <c r="H3" s="19" t="n"/>
    </row>
    <row r="4" ht="30" customHeight="1" s="33">
      <c r="A4" s="22" t="inlineStr">
        <is>
          <t>V11.1</t>
        </is>
      </c>
      <c r="B4" s="22" t="inlineStr">
        <is>
          <t>Cryptographic Inventory and Documentation</t>
        </is>
      </c>
      <c r="C4" s="23" t="inlineStr">
        <is>
          <t>V11.1.2</t>
        </is>
      </c>
      <c r="D4" s="24"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20" t="n">
        <v>2</v>
      </c>
      <c r="F4" s="21" t="inlineStr">
        <is>
          <t>Not Started</t>
        </is>
      </c>
      <c r="G4" s="24" t="inlineStr">
        <is>
          <t>[RF02] Tem de existir um registo do algoritmo e tamanho de chave usados para cifrar os documentos</t>
        </is>
      </c>
      <c r="H4" s="24" t="n"/>
    </row>
    <row r="5" ht="30" customHeight="1" s="33">
      <c r="A5" s="17" t="inlineStr">
        <is>
          <t>V11.1</t>
        </is>
      </c>
      <c r="B5" s="17" t="inlineStr">
        <is>
          <t>Cryptographic Inventory and Documentation</t>
        </is>
      </c>
      <c r="C5" s="18" t="inlineStr">
        <is>
          <t>V11.1.3</t>
        </is>
      </c>
      <c r="D5" s="19" t="inlineStr">
        <is>
          <t>Verify that cryptographic discovery mechanisms are employed to identify all instances of cryptography in the system, including encryption, hashing, and signing operations.</t>
        </is>
      </c>
      <c r="E5" s="26" t="n">
        <v>3</v>
      </c>
      <c r="F5" s="21" t="inlineStr">
        <is>
          <t>Not Started</t>
        </is>
      </c>
      <c r="G5" s="19" t="n"/>
      <c r="H5" s="19" t="n"/>
    </row>
    <row r="6" ht="30" customHeight="1" s="33">
      <c r="A6" s="22" t="inlineStr">
        <is>
          <t>V11.1</t>
        </is>
      </c>
      <c r="B6" s="22" t="inlineStr">
        <is>
          <t>Cryptographic Inventory and Documentation</t>
        </is>
      </c>
      <c r="C6" s="23" t="inlineStr">
        <is>
          <t>V11.1.4</t>
        </is>
      </c>
      <c r="D6" s="24" t="inlineStr">
        <is>
          <t>Verify that a cryptographic inventory is maintained. This must include a documented plan that outlines the migration path to new cryptographic standards, such as post-quantum cryptography, in order to react to future threats.</t>
        </is>
      </c>
      <c r="E6" s="26" t="n">
        <v>3</v>
      </c>
      <c r="F6" s="21" t="inlineStr">
        <is>
          <t>Not Started</t>
        </is>
      </c>
      <c r="G6" s="24" t="n"/>
      <c r="H6" s="24" t="n"/>
    </row>
    <row r="7" ht="18" customHeight="1" s="33">
      <c r="A7" s="16" t="inlineStr">
        <is>
          <t>V11.2</t>
        </is>
      </c>
      <c r="B7" s="16" t="inlineStr">
        <is>
          <t>Secure Cryptography Implementation</t>
        </is>
      </c>
      <c r="C7" s="16" t="n"/>
      <c r="D7" s="16" t="n"/>
      <c r="E7" s="16" t="n"/>
      <c r="F7" s="16" t="n"/>
      <c r="G7" s="16" t="n"/>
      <c r="H7" s="16" t="n"/>
    </row>
    <row r="8" ht="30" customHeight="1" s="33">
      <c r="A8" s="17" t="inlineStr">
        <is>
          <t>V11.2</t>
        </is>
      </c>
      <c r="B8" s="17" t="inlineStr">
        <is>
          <t>Secure Cryptography Implementation</t>
        </is>
      </c>
      <c r="C8" s="18" t="inlineStr">
        <is>
          <t>V11.2.1</t>
        </is>
      </c>
      <c r="D8" s="19" t="inlineStr">
        <is>
          <t>Verify that industry-validated implementations (including libraries and hardware-accelerated implementations) are used for cryptographic operations.</t>
        </is>
      </c>
      <c r="E8" s="20" t="n">
        <v>2</v>
      </c>
      <c r="F8" s="21" t="inlineStr">
        <is>
          <t>Not Started</t>
        </is>
      </c>
      <c r="G8" s="19" t="inlineStr">
        <is>
          <t>[RF02] Usar a biblioteca System.Security.Cryptography do .NET para cifrar os documentos
[RF03] Projeto: Criptografia implementada com bibliotecas .NET System.Security.Cryptography validadas pela indústria.</t>
        </is>
      </c>
      <c r="H8" s="19" t="n"/>
    </row>
    <row r="9" ht="30" customHeight="1" s="33">
      <c r="A9" s="22" t="inlineStr">
        <is>
          <t>V11.2</t>
        </is>
      </c>
      <c r="B9" s="22" t="inlineStr">
        <is>
          <t>Secure Cryptography Implementation</t>
        </is>
      </c>
      <c r="C9" s="23" t="inlineStr">
        <is>
          <t>V11.2.2</t>
        </is>
      </c>
      <c r="D9" s="24"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20" t="n">
        <v>2</v>
      </c>
      <c r="F9" s="21" t="inlineStr">
        <is>
          <t>Not Started</t>
        </is>
      </c>
      <c r="G9" s="24" t="inlineStr">
        <is>
          <t>[RF02] A implementação de cifra tem de ser substituível sem refazer a arquitetura do armazenamento</t>
        </is>
      </c>
      <c r="H9" s="24" t="n"/>
    </row>
    <row r="10" ht="30" customHeight="1" s="33">
      <c r="A10" s="17" t="inlineStr">
        <is>
          <t>V11.2</t>
        </is>
      </c>
      <c r="B10" s="17" t="inlineStr">
        <is>
          <t>Secure Cryptography Implementation</t>
        </is>
      </c>
      <c r="C10" s="18" t="inlineStr">
        <is>
          <t>V11.2.3</t>
        </is>
      </c>
      <c r="D10" s="19"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20" t="n">
        <v>2</v>
      </c>
      <c r="F10" s="21" t="inlineStr">
        <is>
          <t>Not Started</t>
        </is>
      </c>
      <c r="G10" s="19" t="inlineStr">
        <is>
          <t>[RF02] Usar AES-256, que fornece 256 bits de segurança
[RF03] Projeto: AES-256-GCM oferece 256 bits de segurança, excedendo o mínimo de 128 bits requerido.</t>
        </is>
      </c>
      <c r="H10" s="19" t="n"/>
    </row>
    <row r="11" ht="30" customHeight="1" s="33">
      <c r="A11" s="22" t="inlineStr">
        <is>
          <t>V11.2</t>
        </is>
      </c>
      <c r="B11" s="22" t="inlineStr">
        <is>
          <t>Secure Cryptography Implementation</t>
        </is>
      </c>
      <c r="C11" s="23" t="inlineStr">
        <is>
          <t>V11.2.4</t>
        </is>
      </c>
      <c r="D11" s="24" t="inlineStr">
        <is>
          <t>Verify that all cryptographic operations are constant-time, with no 'short-circuit' operations in comparisons, calculations, or returns, to avoid leaking information.</t>
        </is>
      </c>
      <c r="E11" s="26" t="n">
        <v>3</v>
      </c>
      <c r="F11" s="21" t="inlineStr">
        <is>
          <t>Not Started</t>
        </is>
      </c>
      <c r="G11" s="24" t="n"/>
      <c r="H11" s="24" t="n"/>
    </row>
    <row r="12" ht="30" customHeight="1" s="33">
      <c r="A12" s="17" t="inlineStr">
        <is>
          <t>V11.2</t>
        </is>
      </c>
      <c r="B12" s="17" t="inlineStr">
        <is>
          <t>Secure Cryptography Implementation</t>
        </is>
      </c>
      <c r="C12" s="18" t="inlineStr">
        <is>
          <t>V11.2.5</t>
        </is>
      </c>
      <c r="D12" s="19" t="inlineStr">
        <is>
          <t>Verify that all cryptographic modules fail securely, and errors are handled in a way that does not enable vulnerabilities, such as Padding Oracle attacks.</t>
        </is>
      </c>
      <c r="E12" s="26" t="n">
        <v>3</v>
      </c>
      <c r="F12" s="21" t="inlineStr">
        <is>
          <t>Not Started</t>
        </is>
      </c>
      <c r="G12" s="19" t="n"/>
      <c r="H12" s="19" t="n"/>
    </row>
    <row r="13" ht="18" customHeight="1" s="33">
      <c r="A13" s="16" t="inlineStr">
        <is>
          <t>V11.3</t>
        </is>
      </c>
      <c r="B13" s="16" t="inlineStr">
        <is>
          <t>Encryption Algorithms</t>
        </is>
      </c>
      <c r="C13" s="16" t="n"/>
      <c r="D13" s="16" t="n"/>
      <c r="E13" s="16" t="n"/>
      <c r="F13" s="16" t="n"/>
      <c r="G13" s="16" t="n"/>
      <c r="H13" s="16" t="n"/>
    </row>
    <row r="14" ht="30" customHeight="1" s="33">
      <c r="A14" s="17" t="inlineStr">
        <is>
          <t>V11.3</t>
        </is>
      </c>
      <c r="B14" s="17" t="inlineStr">
        <is>
          <t>Encryption Algorithms</t>
        </is>
      </c>
      <c r="C14" s="18" t="inlineStr">
        <is>
          <t>V11.3.1</t>
        </is>
      </c>
      <c r="D14" s="19" t="inlineStr">
        <is>
          <t>Verify that insecure block modes (e.g., ECB) and weak padding schemes (e.g., PKCS#1 v1.5) are not used.</t>
        </is>
      </c>
      <c r="E14" s="25" t="n">
        <v>1</v>
      </c>
      <c r="F14" s="21" t="inlineStr">
        <is>
          <t>Not Started</t>
        </is>
      </c>
      <c r="G14" s="19" t="inlineStr">
        <is>
          <t>[RF01] RF01: Nenhum modo inseguro utilizado (ECB proibido). JWT usa HMAC-SHA256 (não é bloco). Para dados em repouso (fora do escopo direto do RF01 mas consistente): AES-GCM.
[RF02] Não usar AES-ECB
[RF03] Projeto: ECB e PKCS#1 v1.5 não são utilizados. Apenas AES-GCM (autenticado) é usado para dados em repouso.</t>
        </is>
      </c>
      <c r="H14" s="19" t="n"/>
    </row>
    <row r="15" ht="30" customHeight="1" s="33">
      <c r="A15" s="22" t="inlineStr">
        <is>
          <t>V11.3</t>
        </is>
      </c>
      <c r="B15" s="22" t="inlineStr">
        <is>
          <t>Encryption Algorithms</t>
        </is>
      </c>
      <c r="C15" s="23" t="inlineStr">
        <is>
          <t>V11.3.2</t>
        </is>
      </c>
      <c r="D15" s="24" t="inlineStr">
        <is>
          <t>Verify that only approved ciphers and modes such as AES with GCM are used.</t>
        </is>
      </c>
      <c r="E15" s="25" t="n">
        <v>1</v>
      </c>
      <c r="F15" s="21" t="inlineStr">
        <is>
          <t>Not Started</t>
        </is>
      </c>
      <c r="G15" s="24" t="inlineStr">
        <is>
          <t>[RF01] RF01: Apenas algoritmos aprovados: HMAC-SHA256 para assinatura de JWT. AES-GCM para cifra simétrica quando aplicável no ecossistema.
[RF02] Usar AesGcm em .NET (disponível a partir do .NET 3.0) para cifrar os documentos antes de guardar no SQL Server
[RF03] Projeto: AES-256-GCM é o único cipher utilizado para encriptação de dados em repouso (documentos jurídicos).</t>
        </is>
      </c>
      <c r="H15" s="24" t="n"/>
    </row>
    <row r="16" ht="30" customHeight="1" s="33">
      <c r="A16" s="17" t="inlineStr">
        <is>
          <t>V11.3</t>
        </is>
      </c>
      <c r="B16" s="17" t="inlineStr">
        <is>
          <t>Encryption Algorithms</t>
        </is>
      </c>
      <c r="C16" s="18" t="inlineStr">
        <is>
          <t>V11.3.3</t>
        </is>
      </c>
      <c r="D16" s="19" t="inlineStr">
        <is>
          <t>Verify that encrypted data is protected against unauthorized modification preferably by using an approved authenticated encryption method or by combining an approved encryption method with an approved MAC algorithm.</t>
        </is>
      </c>
      <c r="E16" s="20" t="n">
        <v>2</v>
      </c>
      <c r="F16" s="21" t="inlineStr">
        <is>
          <t>Not Started</t>
        </is>
      </c>
      <c r="G16" s="19" t="inlineStr">
        <is>
          <t>[RF02] AES-GCM é uma cifra autenticada e garante simultaneamente confidencialidade e integridade
[RF03] Projeto: AES-GCM é autenticado (AEAD), garantindo confidencialidade e integridade simultâneas sem MAC separado.</t>
        </is>
      </c>
      <c r="H16" s="19" t="n"/>
    </row>
    <row r="17" ht="30" customHeight="1" s="33">
      <c r="A17" s="22" t="inlineStr">
        <is>
          <t>V11.3</t>
        </is>
      </c>
      <c r="B17" s="22" t="inlineStr">
        <is>
          <t>Encryption Algorithms</t>
        </is>
      </c>
      <c r="C17" s="23" t="inlineStr">
        <is>
          <t>V11.3.4</t>
        </is>
      </c>
      <c r="D17" s="24" t="inlineStr">
        <is>
          <t>Verify that nonces, initialization vectors, and other single-use numbers are not used for more than one encryption key and data-element pair. The method of generation must be appropriate for the algorithm being used.</t>
        </is>
      </c>
      <c r="E17" s="26" t="n">
        <v>3</v>
      </c>
      <c r="F17" s="21" t="inlineStr">
        <is>
          <t>Not Started</t>
        </is>
      </c>
      <c r="G17" s="24" t="n"/>
      <c r="H17" s="24" t="n"/>
    </row>
    <row r="18" ht="30" customHeight="1" s="33">
      <c r="A18" s="17" t="inlineStr">
        <is>
          <t>V11.3</t>
        </is>
      </c>
      <c r="B18" s="17" t="inlineStr">
        <is>
          <t>Encryption Algorithms</t>
        </is>
      </c>
      <c r="C18" s="18" t="inlineStr">
        <is>
          <t>V11.3.5</t>
        </is>
      </c>
      <c r="D18" s="19" t="inlineStr">
        <is>
          <t>Verify that any combination of an encryption algorithm and a MAC algorithm is operating in encrypt-then-MAC mode.</t>
        </is>
      </c>
      <c r="E18" s="26" t="n">
        <v>3</v>
      </c>
      <c r="F18" s="21" t="inlineStr">
        <is>
          <t>Not Started</t>
        </is>
      </c>
      <c r="G18" s="19" t="n"/>
      <c r="H18" s="19" t="n"/>
    </row>
    <row r="19" ht="18" customHeight="1" s="33">
      <c r="A19" s="16" t="inlineStr">
        <is>
          <t>V11.4</t>
        </is>
      </c>
      <c r="B19" s="16" t="inlineStr">
        <is>
          <t>Hashing and Hash-based Functions</t>
        </is>
      </c>
      <c r="C19" s="16" t="n"/>
      <c r="D19" s="16" t="n"/>
      <c r="E19" s="16" t="n"/>
      <c r="F19" s="16" t="n"/>
      <c r="G19" s="16" t="n"/>
      <c r="H19" s="16" t="n"/>
    </row>
    <row r="20" ht="30" customHeight="1" s="33">
      <c r="A20" s="17" t="inlineStr">
        <is>
          <t>V11.4</t>
        </is>
      </c>
      <c r="B20" s="17" t="inlineStr">
        <is>
          <t>Hashing and Hash-based Functions</t>
        </is>
      </c>
      <c r="C20" s="18" t="inlineStr">
        <is>
          <t>V11.4.1</t>
        </is>
      </c>
      <c r="D20" s="19" t="inlineStr">
        <is>
          <t>Verify that only approved hash functions are used for general cryptographic use cases, including digital signatures, HMAC, KDF, and random bit generation. Disallowed hash functions, such as MD5, must not be used for any cryptographic purpose.</t>
        </is>
      </c>
      <c r="E20" s="25" t="n">
        <v>1</v>
      </c>
      <c r="F20" s="21" t="inlineStr">
        <is>
          <t>Not Started</t>
        </is>
      </c>
      <c r="G20" s="19" t="inlineStr">
        <is>
          <t>[RF01] RF01: Hash functions aprovadas — SHA-256 (base do HMAC para JWT). Argon2id (função de password hashing aprovada pelo OWASP) para credenciais de utilizador.
[RF02] Qualquer função de hash usada tem de ser SHA-256 ou superior</t>
        </is>
      </c>
      <c r="H20" s="19" t="n"/>
    </row>
    <row r="21" ht="30" customHeight="1" s="33">
      <c r="A21" s="22" t="inlineStr">
        <is>
          <t>V11.4</t>
        </is>
      </c>
      <c r="B21" s="22" t="inlineStr">
        <is>
          <t>Hashing and Hash-based Functions</t>
        </is>
      </c>
      <c r="C21" s="23" t="inlineStr">
        <is>
          <t>V11.4.2</t>
        </is>
      </c>
      <c r="D21" s="24"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20" t="n">
        <v>2</v>
      </c>
      <c r="F21" s="21" t="inlineStr">
        <is>
          <t>Not Started</t>
        </is>
      </c>
      <c r="G21" s="24" t="inlineStr">
        <is>
          <t>[RF01] RF01: Passwords armazenadas com Argon2id (KDF aprovada, computacionalmente intensiva, resistente a GPU). Documentado em FURPS+ pilar "1. Auth" e Mitigations.md T1.5. Mitiga exposição em caso de fuga da BD.
[RF02] As passwords dos utilizadores na BD local têm de ser guardadas com um algoritmo aprovado</t>
        </is>
      </c>
      <c r="H21" s="24" t="n"/>
    </row>
    <row r="22" ht="30" customHeight="1" s="33">
      <c r="A22" s="17" t="inlineStr">
        <is>
          <t>V11.4</t>
        </is>
      </c>
      <c r="B22" s="17" t="inlineStr">
        <is>
          <t>Hashing and Hash-based Functions</t>
        </is>
      </c>
      <c r="C22" s="18" t="inlineStr">
        <is>
          <t>V11.4.3</t>
        </is>
      </c>
      <c r="D22" s="19"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20" t="n">
        <v>2</v>
      </c>
      <c r="F22" s="21" t="inlineStr">
        <is>
          <t>Not Started</t>
        </is>
      </c>
      <c r="G22" s="19" t="n"/>
      <c r="H22" s="19" t="n"/>
    </row>
    <row r="23" ht="30" customHeight="1" s="33">
      <c r="A23" s="22" t="inlineStr">
        <is>
          <t>V11.4</t>
        </is>
      </c>
      <c r="B23" s="22" t="inlineStr">
        <is>
          <t>Hashing and Hash-based Functions</t>
        </is>
      </c>
      <c r="C23" s="23" t="inlineStr">
        <is>
          <t>V11.4.4</t>
        </is>
      </c>
      <c r="D23" s="24"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20" t="n">
        <v>2</v>
      </c>
      <c r="F23" s="21" t="inlineStr">
        <is>
          <t>Not Started</t>
        </is>
      </c>
      <c r="G23" s="24" t="inlineStr">
        <is>
          <t>[RF01] RF01: Parâmetros Argon2id configurados conforme OWASP Password Storage Cheat Sheet: memorySize=19 MiB, iterations=2, parallelism=1, saltLength=16 bytes. Salt único gerado via CSPRNG para cada password.</t>
        </is>
      </c>
      <c r="H23" s="24" t="n"/>
    </row>
    <row r="24" ht="18" customHeight="1" s="33">
      <c r="A24" s="16" t="inlineStr">
        <is>
          <t>V11.5</t>
        </is>
      </c>
      <c r="B24" s="16" t="inlineStr">
        <is>
          <t>Random Values</t>
        </is>
      </c>
      <c r="C24" s="16" t="n"/>
      <c r="D24" s="16" t="n"/>
      <c r="E24" s="16" t="n"/>
      <c r="F24" s="16" t="n"/>
      <c r="G24" s="16" t="n"/>
      <c r="H24" s="16" t="n"/>
    </row>
    <row r="25" ht="30" customHeight="1" s="33">
      <c r="A25" s="17" t="inlineStr">
        <is>
          <t>V11.5</t>
        </is>
      </c>
      <c r="B25" s="17" t="inlineStr">
        <is>
          <t>Random Values</t>
        </is>
      </c>
      <c r="C25" s="18" t="inlineStr">
        <is>
          <t>V11.5.1</t>
        </is>
      </c>
      <c r="D25" s="19"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20" t="n">
        <v>2</v>
      </c>
      <c r="F25" s="21" t="inlineStr">
        <is>
          <t>Not Started</t>
        </is>
      </c>
      <c r="G25" s="19" t="inlineStr">
        <is>
          <t>[RF01] RF01: Todos os valores aleatórios (salts Argon2id, refresh tokens, tokens de reset de password, nonces) gerados via System.Security.Cryptography.RandomNumberGenerator (CSPRNG).</t>
        </is>
      </c>
      <c r="H25" s="19" t="n"/>
    </row>
    <row r="26" ht="30" customHeight="1" s="33">
      <c r="A26" s="22" t="inlineStr">
        <is>
          <t>V11.5</t>
        </is>
      </c>
      <c r="B26" s="22" t="inlineStr">
        <is>
          <t>Random Values</t>
        </is>
      </c>
      <c r="C26" s="23" t="inlineStr">
        <is>
          <t>V11.5.2</t>
        </is>
      </c>
      <c r="D26" s="24" t="inlineStr">
        <is>
          <t>Verify that the random number generation mechanism in use is designed to work securely, even under heavy demand.</t>
        </is>
      </c>
      <c r="E26" s="26" t="n">
        <v>3</v>
      </c>
      <c r="F26" s="21" t="inlineStr">
        <is>
          <t>Not Started</t>
        </is>
      </c>
      <c r="G26" s="24" t="n"/>
      <c r="H26" s="24" t="n"/>
    </row>
    <row r="27" ht="18" customHeight="1" s="33">
      <c r="A27" s="16" t="inlineStr">
        <is>
          <t>V11.6</t>
        </is>
      </c>
      <c r="B27" s="16" t="inlineStr">
        <is>
          <t>Public Key Cryptography</t>
        </is>
      </c>
      <c r="C27" s="16" t="n"/>
      <c r="D27" s="16" t="n"/>
      <c r="E27" s="16" t="n"/>
      <c r="F27" s="16" t="n"/>
      <c r="G27" s="16" t="n"/>
      <c r="H27" s="16" t="n"/>
    </row>
    <row r="28" ht="30" customHeight="1" s="33">
      <c r="A28" s="17" t="inlineStr">
        <is>
          <t>V11.6</t>
        </is>
      </c>
      <c r="B28" s="17" t="inlineStr">
        <is>
          <t>Public Key Cryptography</t>
        </is>
      </c>
      <c r="C28" s="18" t="inlineStr">
        <is>
          <t>V11.6.1</t>
        </is>
      </c>
      <c r="D28" s="19"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20" t="n">
        <v>2</v>
      </c>
      <c r="F28" s="21" t="inlineStr">
        <is>
          <t>Not Started</t>
        </is>
      </c>
      <c r="G28" s="19" t="n"/>
      <c r="H28" s="19" t="n"/>
    </row>
    <row r="29" ht="30" customHeight="1" s="33">
      <c r="A29" s="22" t="inlineStr">
        <is>
          <t>V11.6</t>
        </is>
      </c>
      <c r="B29" s="22" t="inlineStr">
        <is>
          <t>Public Key Cryptography</t>
        </is>
      </c>
      <c r="C29" s="23" t="inlineStr">
        <is>
          <t>V11.6.2</t>
        </is>
      </c>
      <c r="D29" s="24"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26" t="n">
        <v>3</v>
      </c>
      <c r="F29" s="21" t="inlineStr">
        <is>
          <t>Not Started</t>
        </is>
      </c>
      <c r="G29" s="24" t="n"/>
      <c r="H29" s="24" t="n"/>
    </row>
    <row r="30" ht="18" customHeight="1" s="33">
      <c r="A30" s="16" t="inlineStr">
        <is>
          <t>V11.7</t>
        </is>
      </c>
      <c r="B30" s="16" t="inlineStr">
        <is>
          <t>In-Use Data Cryptography</t>
        </is>
      </c>
      <c r="C30" s="16" t="n"/>
      <c r="D30" s="16" t="n"/>
      <c r="E30" s="16" t="n"/>
      <c r="F30" s="16" t="n"/>
      <c r="G30" s="16" t="n"/>
      <c r="H30" s="16" t="n"/>
    </row>
    <row r="31" ht="30" customHeight="1" s="33">
      <c r="A31" s="17" t="inlineStr">
        <is>
          <t>V11.7</t>
        </is>
      </c>
      <c r="B31" s="17" t="inlineStr">
        <is>
          <t>In-Use Data Cryptography</t>
        </is>
      </c>
      <c r="C31" s="18" t="inlineStr">
        <is>
          <t>V11.7.1</t>
        </is>
      </c>
      <c r="D31" s="19" t="inlineStr">
        <is>
          <t>Verify that full memory encryption is in use that protects sensitive data while it is in use, preventing access by unauthorized users or processes.</t>
        </is>
      </c>
      <c r="E31" s="26" t="n">
        <v>3</v>
      </c>
      <c r="F31" s="21" t="inlineStr">
        <is>
          <t>Not Started</t>
        </is>
      </c>
      <c r="G31" s="19" t="n"/>
      <c r="H31" s="19" t="n"/>
    </row>
    <row r="32" ht="30" customHeight="1" s="33">
      <c r="A32" s="22" t="inlineStr">
        <is>
          <t>V11.7</t>
        </is>
      </c>
      <c r="B32" s="22" t="inlineStr">
        <is>
          <t>In-Use Data Cryptography</t>
        </is>
      </c>
      <c r="C32" s="23" t="inlineStr">
        <is>
          <t>V11.7.2</t>
        </is>
      </c>
      <c r="D32" s="24" t="inlineStr">
        <is>
          <t>Verify that data minimization ensures the minimal amount of data is exposed during processing, and ensure that data is encrypted immediately after use or as soon as feasible.</t>
        </is>
      </c>
      <c r="E32" s="26" t="n">
        <v>3</v>
      </c>
      <c r="F32" s="21" t="inlineStr">
        <is>
          <t>Not Started</t>
        </is>
      </c>
      <c r="G32" s="24" t="n"/>
      <c r="H32" s="24" t="n"/>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sheetPr>
    <outlinePr summaryBelow="1" summaryRight="1"/>
    <pageSetUpPr/>
  </sheetPr>
  <dimension ref="A1:H16"/>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V12.1</t>
        </is>
      </c>
      <c r="B2" s="16" t="inlineStr">
        <is>
          <t>General TLS Security Guidance</t>
        </is>
      </c>
      <c r="C2" s="16" t="n"/>
      <c r="D2" s="16" t="n"/>
      <c r="E2" s="16" t="n"/>
      <c r="F2" s="16" t="n"/>
      <c r="G2" s="16" t="n"/>
      <c r="H2" s="16" t="n"/>
    </row>
    <row r="3" ht="30" customHeight="1" s="33">
      <c r="A3" s="17" t="inlineStr">
        <is>
          <t>V12.1</t>
        </is>
      </c>
      <c r="B3" s="17" t="inlineStr">
        <is>
          <t>General TLS Security Guidance</t>
        </is>
      </c>
      <c r="C3" s="18" t="inlineStr">
        <is>
          <t>V12.1.1</t>
        </is>
      </c>
      <c r="D3" s="19" t="inlineStr">
        <is>
          <t>Verify that only the latest recommended versions of the TLS protocol are enabled, such as TLS 1.2 and TLS 1.3. The latest version of the TLS protocol must be the preferred option.</t>
        </is>
      </c>
      <c r="E3" s="25" t="n">
        <v>1</v>
      </c>
      <c r="F3" s="21" t="inlineStr">
        <is>
          <t>Not Started</t>
        </is>
      </c>
      <c r="G3" s="19" t="inlineStr">
        <is>
          <t>[RF01] RF01: API configurada para aceitar apenas TLS 1.2 e TLS 1.3 (Kestrel SslProtocols). Versões antigas (SSL 3.0, TLS 1.0, 1.1) explicitamente desativadas. Mitigação primária de T1.7.
[RF02] A connection string do SQL Server tem de garantir TLS na ligação entre o .NET e a BD</t>
        </is>
      </c>
      <c r="H3" s="19" t="n"/>
    </row>
    <row r="4" ht="30" customHeight="1" s="33">
      <c r="A4" s="22" t="inlineStr">
        <is>
          <t>V12.1</t>
        </is>
      </c>
      <c r="B4" s="22" t="inlineStr">
        <is>
          <t>General TLS Security Guidance</t>
        </is>
      </c>
      <c r="C4" s="23" t="inlineStr">
        <is>
          <t>V12.1.2</t>
        </is>
      </c>
      <c r="D4" s="24" t="inlineStr">
        <is>
          <t>Verify that only recommended cipher suites are enabled, with the strongest cipher suites set as preferred. L3 applications must only support cipher suites which provide forward secrecy.</t>
        </is>
      </c>
      <c r="E4" s="20" t="n">
        <v>2</v>
      </c>
      <c r="F4" s="21" t="inlineStr">
        <is>
          <t>Not Started</t>
        </is>
      </c>
      <c r="G4" s="24" t="inlineStr">
        <is>
          <t>[RF02] A connection string do SQL Server tem de garantir TLS na ligação entre o .NET e a BD</t>
        </is>
      </c>
      <c r="H4" s="24" t="n"/>
    </row>
    <row r="5" ht="30" customHeight="1" s="33">
      <c r="A5" s="17" t="inlineStr">
        <is>
          <t>V12.1</t>
        </is>
      </c>
      <c r="B5" s="17" t="inlineStr">
        <is>
          <t>General TLS Security Guidance</t>
        </is>
      </c>
      <c r="C5" s="18" t="inlineStr">
        <is>
          <t>V12.1.3</t>
        </is>
      </c>
      <c r="D5" s="19" t="inlineStr">
        <is>
          <t>Verify that the application validates that mTLS client certificates are trusted before using the certificate identity for authentication or authorization.</t>
        </is>
      </c>
      <c r="E5" s="20" t="n">
        <v>2</v>
      </c>
      <c r="F5" s="21" t="inlineStr">
        <is>
          <t>Not Started</t>
        </is>
      </c>
      <c r="G5" s="19" t="inlineStr">
        <is>
          <t>[RF02] A connection string do SQL Server tem de garantir TLS na ligação entre o .NET e a BD</t>
        </is>
      </c>
      <c r="H5" s="19" t="n"/>
    </row>
    <row r="6" ht="30" customHeight="1" s="33">
      <c r="A6" s="22" t="inlineStr">
        <is>
          <t>V12.1</t>
        </is>
      </c>
      <c r="B6" s="22" t="inlineStr">
        <is>
          <t>General TLS Security Guidance</t>
        </is>
      </c>
      <c r="C6" s="23" t="inlineStr">
        <is>
          <t>V12.1.4</t>
        </is>
      </c>
      <c r="D6" s="24" t="inlineStr">
        <is>
          <t>Verify that proper certification revocation, such as Online Certificate Status Protocol (OCSP) Stapling, is enabled and configured.</t>
        </is>
      </c>
      <c r="E6" s="26" t="n">
        <v>3</v>
      </c>
      <c r="F6" s="21" t="inlineStr">
        <is>
          <t>Not Started</t>
        </is>
      </c>
      <c r="G6" s="24" t="n"/>
      <c r="H6" s="24" t="n"/>
    </row>
    <row r="7" ht="30" customHeight="1" s="33">
      <c r="A7" s="17" t="inlineStr">
        <is>
          <t>V12.1</t>
        </is>
      </c>
      <c r="B7" s="17" t="inlineStr">
        <is>
          <t>General TLS Security Guidance</t>
        </is>
      </c>
      <c r="C7" s="18" t="inlineStr">
        <is>
          <t>V12.1.5</t>
        </is>
      </c>
      <c r="D7" s="19" t="inlineStr">
        <is>
          <t>Verify that Encrypted Client Hello (ECH) is enabled in the application's TLS settings to prevent exposure of sensitive metadata, such as the Server Name Indication (SNI), during TLS handshake processes.</t>
        </is>
      </c>
      <c r="E7" s="26" t="n">
        <v>3</v>
      </c>
      <c r="F7" s="21" t="inlineStr">
        <is>
          <t>Not Started</t>
        </is>
      </c>
      <c r="G7" s="19" t="n"/>
      <c r="H7" s="19" t="n"/>
    </row>
    <row r="8" ht="18" customHeight="1" s="33">
      <c r="A8" s="16" t="inlineStr">
        <is>
          <t>V12.2</t>
        </is>
      </c>
      <c r="B8" s="16" t="inlineStr">
        <is>
          <t>HTTPS Communication with External Facing Services</t>
        </is>
      </c>
      <c r="C8" s="16" t="n"/>
      <c r="D8" s="16" t="n"/>
      <c r="E8" s="16" t="n"/>
      <c r="F8" s="16" t="n"/>
      <c r="G8" s="16" t="n"/>
      <c r="H8" s="16" t="n"/>
    </row>
    <row r="9" ht="30" customHeight="1" s="33">
      <c r="A9" s="17" t="inlineStr">
        <is>
          <t>V12.2</t>
        </is>
      </c>
      <c r="B9" s="17" t="inlineStr">
        <is>
          <t>HTTPS Communication with External Facing Services</t>
        </is>
      </c>
      <c r="C9" s="18" t="inlineStr">
        <is>
          <t>V12.2.1</t>
        </is>
      </c>
      <c r="D9" s="19" t="inlineStr">
        <is>
          <t>Verify that TLS is used for all connectivity between a client and external facing, HTTP-based services, and does not fall back to insecure or unencrypted communications.</t>
        </is>
      </c>
      <c r="E9" s="25" t="n">
        <v>1</v>
      </c>
      <c r="F9" s="21" t="inlineStr">
        <is>
          <t>Not Started</t>
        </is>
      </c>
      <c r="G9" s="19" t="inlineStr">
        <is>
          <t>[RF01] RF01: HTTPS forçado via app.UseHttpsRedirection() e HSTS (app.UseHsts() com max-age=1 ano, includeSubDomains). Fallback para HTTP não cifrado bloqueado. Mitiga T1.7 (MitM/TLS stripping).
[RF02] A connection string do SQL Server tem de garantir TLS na ligação entre o .NET e a BD</t>
        </is>
      </c>
      <c r="H9" s="19" t="n"/>
    </row>
    <row r="10" ht="30" customHeight="1" s="33">
      <c r="A10" s="22" t="inlineStr">
        <is>
          <t>V12.2</t>
        </is>
      </c>
      <c r="B10" s="22" t="inlineStr">
        <is>
          <t>HTTPS Communication with External Facing Services</t>
        </is>
      </c>
      <c r="C10" s="23" t="inlineStr">
        <is>
          <t>V12.2.2</t>
        </is>
      </c>
      <c r="D10" s="24" t="inlineStr">
        <is>
          <t>Verify that external facing services use publicly trusted TLS certificates.</t>
        </is>
      </c>
      <c r="E10" s="25" t="n">
        <v>1</v>
      </c>
      <c r="F10" s="21" t="inlineStr">
        <is>
          <t>Not Started</t>
        </is>
      </c>
      <c r="G10" s="24" t="inlineStr">
        <is>
          <t>[RF01] RF01: Em produção, certificados TLS emitidos por CA publicamente confiável (Let's Encrypt / AWS ACM). Certificados autoassinados apenas em desenvolvimento local.
[RF02] A connection string do SQL Server tem de garantir TLS na ligação entre o .NET e a BD</t>
        </is>
      </c>
      <c r="H10" s="24" t="n"/>
    </row>
    <row r="11" ht="18" customHeight="1" s="33">
      <c r="A11" s="16" t="inlineStr">
        <is>
          <t>V12.3</t>
        </is>
      </c>
      <c r="B11" s="16" t="inlineStr">
        <is>
          <t>General Service to Service Communication Security</t>
        </is>
      </c>
      <c r="C11" s="16" t="n"/>
      <c r="D11" s="16" t="n"/>
      <c r="E11" s="16" t="n"/>
      <c r="F11" s="16" t="n"/>
      <c r="G11" s="16" t="n"/>
      <c r="H11" s="16" t="n"/>
    </row>
    <row r="12" ht="30" customHeight="1" s="33">
      <c r="A12" s="17" t="inlineStr">
        <is>
          <t>V12.3</t>
        </is>
      </c>
      <c r="B12" s="17" t="inlineStr">
        <is>
          <t>General Service to Service Communication Security</t>
        </is>
      </c>
      <c r="C12" s="18" t="inlineStr">
        <is>
          <t>V12.3.1</t>
        </is>
      </c>
      <c r="D12" s="19"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20" t="n">
        <v>2</v>
      </c>
      <c r="F12" s="21" t="inlineStr">
        <is>
          <t>Not Started</t>
        </is>
      </c>
      <c r="G12" s="27" t="inlineStr">
        <is>
          <t>[RF04] RF04 T4.1 (Interceção de Fluxo – Médio, DREAD 32): comunicação API↔PostgreSQL via TLS 1.2/1.3 para proteger logs em trânsito.</t>
        </is>
      </c>
      <c r="H12" s="19" t="n"/>
    </row>
    <row r="13" ht="30" customHeight="1" s="33">
      <c r="A13" s="22" t="inlineStr">
        <is>
          <t>V12.3</t>
        </is>
      </c>
      <c r="B13" s="22" t="inlineStr">
        <is>
          <t>General Service to Service Communication Security</t>
        </is>
      </c>
      <c r="C13" s="23" t="inlineStr">
        <is>
          <t>V12.3.2</t>
        </is>
      </c>
      <c r="D13" s="24" t="inlineStr">
        <is>
          <t>Verify that TLS clients validate certificates received before communicating with a TLS server.</t>
        </is>
      </c>
      <c r="E13" s="20" t="n">
        <v>2</v>
      </c>
      <c r="F13" s="21" t="inlineStr">
        <is>
          <t>Not Started</t>
        </is>
      </c>
      <c r="G13" s="28" t="n"/>
      <c r="H13" s="24" t="n"/>
    </row>
    <row r="14" ht="30" customHeight="1" s="33">
      <c r="A14" s="17" t="inlineStr">
        <is>
          <t>V12.3</t>
        </is>
      </c>
      <c r="B14" s="17" t="inlineStr">
        <is>
          <t>General Service to Service Communication Security</t>
        </is>
      </c>
      <c r="C14" s="18" t="inlineStr">
        <is>
          <t>V12.3.3</t>
        </is>
      </c>
      <c r="D14" s="19" t="inlineStr">
        <is>
          <t>Verify that TLS or another appropriate transport encryption mechanism used for all connectivity between internal, HTTP-based services within the application, and does not fall back to insecure or unencrypted communications.</t>
        </is>
      </c>
      <c r="E14" s="20" t="n">
        <v>2</v>
      </c>
      <c r="F14" s="21" t="inlineStr">
        <is>
          <t>Not Started</t>
        </is>
      </c>
      <c r="G14" s="19" t="inlineStr">
        <is>
          <t>[RF04] RF04: transmissão de logs para sistemas internos (SIEM, monitoring) protegida por TLS para garantir integridade e confidencialidade dos registos.</t>
        </is>
      </c>
      <c r="H14" s="19" t="n"/>
    </row>
    <row r="15" ht="30" customHeight="1" s="33">
      <c r="A15" s="22" t="inlineStr">
        <is>
          <t>V12.3</t>
        </is>
      </c>
      <c r="B15" s="22" t="inlineStr">
        <is>
          <t>General Service to Service Communication Security</t>
        </is>
      </c>
      <c r="C15" s="23" t="inlineStr">
        <is>
          <t>V12.3.4</t>
        </is>
      </c>
      <c r="D15" s="24"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20" t="n">
        <v>2</v>
      </c>
      <c r="F15" s="21" t="inlineStr">
        <is>
          <t>Not Started</t>
        </is>
      </c>
      <c r="G15" s="24" t="n"/>
      <c r="H15" s="24" t="n"/>
    </row>
    <row r="16" ht="30" customHeight="1" s="33">
      <c r="A16" s="17" t="inlineStr">
        <is>
          <t>V12.3</t>
        </is>
      </c>
      <c r="B16" s="17" t="inlineStr">
        <is>
          <t>General Service to Service Communication Security</t>
        </is>
      </c>
      <c r="C16" s="18" t="inlineStr">
        <is>
          <t>V12.3.5</t>
        </is>
      </c>
      <c r="D16" s="19"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26" t="n">
        <v>3</v>
      </c>
      <c r="F16" s="21" t="inlineStr">
        <is>
          <t>Not Started</t>
        </is>
      </c>
      <c r="G16" s="19" t="n"/>
      <c r="H16" s="19" t="n"/>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sheetPr>
    <outlinePr summaryBelow="1" summaryRight="1"/>
    <pageSetUpPr/>
  </sheetPr>
  <dimension ref="A1:H26"/>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V13.1</t>
        </is>
      </c>
      <c r="B2" s="16" t="inlineStr">
        <is>
          <t>Configuration Documentation</t>
        </is>
      </c>
      <c r="C2" s="16" t="n"/>
      <c r="D2" s="16" t="n"/>
      <c r="E2" s="16" t="n"/>
      <c r="F2" s="16" t="n"/>
      <c r="G2" s="16" t="n"/>
      <c r="H2" s="16" t="n"/>
    </row>
    <row r="3" ht="30" customHeight="1" s="33">
      <c r="A3" s="17" t="inlineStr">
        <is>
          <t>V13.1</t>
        </is>
      </c>
      <c r="B3" s="17" t="inlineStr">
        <is>
          <t>Configuration Documentation</t>
        </is>
      </c>
      <c r="C3" s="18" t="inlineStr">
        <is>
          <t>V13.1.1</t>
        </is>
      </c>
      <c r="D3" s="19"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20" t="n">
        <v>2</v>
      </c>
      <c r="F3" s="21" t="inlineStr">
        <is>
          <t>Not Started</t>
        </is>
      </c>
      <c r="G3" s="19" t="n"/>
      <c r="H3" s="19" t="n"/>
    </row>
    <row r="4" ht="30" customHeight="1" s="33">
      <c r="A4" s="22" t="inlineStr">
        <is>
          <t>V13.1</t>
        </is>
      </c>
      <c r="B4" s="22" t="inlineStr">
        <is>
          <t>Configuration Documentation</t>
        </is>
      </c>
      <c r="C4" s="23" t="inlineStr">
        <is>
          <t>V13.1.2</t>
        </is>
      </c>
      <c r="D4" s="24"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26" t="n">
        <v>3</v>
      </c>
      <c r="F4" s="21" t="inlineStr">
        <is>
          <t>Not Started</t>
        </is>
      </c>
      <c r="G4" s="24" t="n"/>
      <c r="H4" s="24" t="n"/>
    </row>
    <row r="5" ht="30" customHeight="1" s="33">
      <c r="A5" s="17" t="inlineStr">
        <is>
          <t>V13.1</t>
        </is>
      </c>
      <c r="B5" s="17" t="inlineStr">
        <is>
          <t>Configuration Documentation</t>
        </is>
      </c>
      <c r="C5" s="18" t="inlineStr">
        <is>
          <t>V13.1.3</t>
        </is>
      </c>
      <c r="D5" s="19"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26" t="n">
        <v>3</v>
      </c>
      <c r="F5" s="21" t="inlineStr">
        <is>
          <t>Not Started</t>
        </is>
      </c>
      <c r="G5" s="19" t="n"/>
      <c r="H5" s="19" t="n"/>
    </row>
    <row r="6" ht="30" customHeight="1" s="33">
      <c r="A6" s="22" t="inlineStr">
        <is>
          <t>V13.1</t>
        </is>
      </c>
      <c r="B6" s="22" t="inlineStr">
        <is>
          <t>Configuration Documentation</t>
        </is>
      </c>
      <c r="C6" s="23" t="inlineStr">
        <is>
          <t>V13.1.4</t>
        </is>
      </c>
      <c r="D6" s="24" t="inlineStr">
        <is>
          <t>Verify that the application's documentation defines the secrets that are critical for the security of the application and a schedule for rotating them, based on the organization's threat model and business requirements.</t>
        </is>
      </c>
      <c r="E6" s="26" t="n">
        <v>3</v>
      </c>
      <c r="F6" s="21" t="inlineStr">
        <is>
          <t>Not Started</t>
        </is>
      </c>
      <c r="G6" s="24" t="n"/>
      <c r="H6" s="24" t="n"/>
    </row>
    <row r="7" ht="18" customHeight="1" s="33">
      <c r="A7" s="16" t="inlineStr">
        <is>
          <t>V13.2</t>
        </is>
      </c>
      <c r="B7" s="16" t="inlineStr">
        <is>
          <t>Backend Communication Configuration</t>
        </is>
      </c>
      <c r="C7" s="16" t="n"/>
      <c r="D7" s="16" t="n"/>
      <c r="E7" s="16" t="n"/>
      <c r="F7" s="16" t="n"/>
      <c r="G7" s="16" t="n"/>
      <c r="H7" s="16" t="n"/>
    </row>
    <row r="8" ht="30" customHeight="1" s="33">
      <c r="A8" s="17" t="inlineStr">
        <is>
          <t>V13.2</t>
        </is>
      </c>
      <c r="B8" s="17" t="inlineStr">
        <is>
          <t>Backend Communication Configuration</t>
        </is>
      </c>
      <c r="C8" s="18" t="inlineStr">
        <is>
          <t>V13.2.1</t>
        </is>
      </c>
      <c r="D8" s="19"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20" t="n">
        <v>2</v>
      </c>
      <c r="F8" s="21" t="inlineStr">
        <is>
          <t>Not Started</t>
        </is>
      </c>
      <c r="G8" s="19" t="n"/>
      <c r="H8" s="19" t="n"/>
    </row>
    <row r="9" ht="30" customHeight="1" s="33">
      <c r="A9" s="22" t="inlineStr">
        <is>
          <t>V13.2</t>
        </is>
      </c>
      <c r="B9" s="22" t="inlineStr">
        <is>
          <t>Backend Communication Configuration</t>
        </is>
      </c>
      <c r="C9" s="23" t="inlineStr">
        <is>
          <t>V13.2.2</t>
        </is>
      </c>
      <c r="D9" s="24" t="inlineStr">
        <is>
          <t>Verify that communications between backend application components, including local or operating system services, APIs, middleware, and data layers, are performed with accounts assigned the least necessary privileges.</t>
        </is>
      </c>
      <c r="E9" s="20" t="n">
        <v>2</v>
      </c>
      <c r="F9" s="21" t="inlineStr">
        <is>
          <t>Not Started</t>
        </is>
      </c>
      <c r="G9" s="24" t="inlineStr">
        <is>
          <t>[RF04] RF04 (Imutabilidade): utilizador de base de dados da aplicação tem apenas permissões INSERT e SELECT na tabela de logs. Sem UPDATE, DELETE ou DROP.</t>
        </is>
      </c>
      <c r="H9" s="24" t="n"/>
    </row>
    <row r="10" ht="30" customHeight="1" s="33">
      <c r="A10" s="17" t="inlineStr">
        <is>
          <t>V13.2</t>
        </is>
      </c>
      <c r="B10" s="17" t="inlineStr">
        <is>
          <t>Backend Communication Configuration</t>
        </is>
      </c>
      <c r="C10" s="18" t="inlineStr">
        <is>
          <t>V13.2.3</t>
        </is>
      </c>
      <c r="D10" s="19" t="inlineStr">
        <is>
          <t>Verify that if a credential has to be used for service authentication, the credential being used by the consumer is not a default credential (e.g., root/root or admin/admin).</t>
        </is>
      </c>
      <c r="E10" s="20" t="n">
        <v>2</v>
      </c>
      <c r="F10" s="21" t="inlineStr">
        <is>
          <t>Not Started</t>
        </is>
      </c>
      <c r="G10" s="19" t="n"/>
      <c r="H10" s="19" t="n"/>
    </row>
    <row r="11" ht="30" customHeight="1" s="33">
      <c r="A11" s="22" t="inlineStr">
        <is>
          <t>V13.2</t>
        </is>
      </c>
      <c r="B11" s="22" t="inlineStr">
        <is>
          <t>Backend Communication Configuration</t>
        </is>
      </c>
      <c r="C11" s="23" t="inlineStr">
        <is>
          <t>V13.2.4</t>
        </is>
      </c>
      <c r="D11" s="24"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20" t="n">
        <v>2</v>
      </c>
      <c r="F11" s="21" t="inlineStr">
        <is>
          <t>Not Started</t>
        </is>
      </c>
      <c r="G11" s="24" t="n"/>
      <c r="H11" s="24" t="n"/>
    </row>
    <row r="12" ht="30" customHeight="1" s="33">
      <c r="A12" s="17" t="inlineStr">
        <is>
          <t>V13.2</t>
        </is>
      </c>
      <c r="B12" s="17" t="inlineStr">
        <is>
          <t>Backend Communication Configuration</t>
        </is>
      </c>
      <c r="C12" s="18" t="inlineStr">
        <is>
          <t>V13.2.5</t>
        </is>
      </c>
      <c r="D12" s="19" t="inlineStr">
        <is>
          <t>Verify that the web or application server is configured with an allowlist of resources or systems to which the server can send requests or load data or files from.</t>
        </is>
      </c>
      <c r="E12" s="20" t="n">
        <v>2</v>
      </c>
      <c r="F12" s="21" t="inlineStr">
        <is>
          <t>Not Started</t>
        </is>
      </c>
      <c r="G12" s="19" t="n"/>
      <c r="H12" s="19" t="n"/>
    </row>
    <row r="13" ht="30" customHeight="1" s="33">
      <c r="A13" s="22" t="inlineStr">
        <is>
          <t>V13.2</t>
        </is>
      </c>
      <c r="B13" s="22" t="inlineStr">
        <is>
          <t>Backend Communication Configuration</t>
        </is>
      </c>
      <c r="C13" s="23" t="inlineStr">
        <is>
          <t>V13.2.6</t>
        </is>
      </c>
      <c r="D13" s="24"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26" t="n">
        <v>3</v>
      </c>
      <c r="F13" s="21" t="inlineStr">
        <is>
          <t>Not Started</t>
        </is>
      </c>
      <c r="G13" s="24" t="n"/>
      <c r="H13" s="24" t="n"/>
    </row>
    <row r="14" ht="18" customHeight="1" s="33">
      <c r="A14" s="16" t="inlineStr">
        <is>
          <t>V13.3</t>
        </is>
      </c>
      <c r="B14" s="16" t="inlineStr">
        <is>
          <t>Secret Management</t>
        </is>
      </c>
      <c r="C14" s="16" t="n"/>
      <c r="D14" s="16" t="n"/>
      <c r="E14" s="16" t="n"/>
      <c r="F14" s="16" t="n"/>
      <c r="G14" s="16" t="n"/>
      <c r="H14" s="16" t="n"/>
    </row>
    <row r="15" ht="30" customHeight="1" s="33">
      <c r="A15" s="17" t="inlineStr">
        <is>
          <t>V13.3</t>
        </is>
      </c>
      <c r="B15" s="17" t="inlineStr">
        <is>
          <t>Secret Management</t>
        </is>
      </c>
      <c r="C15" s="18" t="inlineStr">
        <is>
          <t>V13.3.1</t>
        </is>
      </c>
      <c r="D15" s="19"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20" t="n">
        <v>2</v>
      </c>
      <c r="F15" s="21" t="inlineStr">
        <is>
          <t>Not Started</t>
        </is>
      </c>
      <c r="G15" s="19" t="n"/>
      <c r="H15" s="19" t="n"/>
    </row>
    <row r="16" ht="30" customHeight="1" s="33">
      <c r="A16" s="22" t="inlineStr">
        <is>
          <t>V13.3</t>
        </is>
      </c>
      <c r="B16" s="22" t="inlineStr">
        <is>
          <t>Secret Management</t>
        </is>
      </c>
      <c r="C16" s="23" t="inlineStr">
        <is>
          <t>V13.3.2</t>
        </is>
      </c>
      <c r="D16" s="24" t="inlineStr">
        <is>
          <t>Verify that access to secret assets adheres to the principle of least privilege.</t>
        </is>
      </c>
      <c r="E16" s="20" t="n">
        <v>2</v>
      </c>
      <c r="F16" s="21" t="inlineStr">
        <is>
          <t>Not Started</t>
        </is>
      </c>
      <c r="G16" s="24" t="n"/>
      <c r="H16" s="24" t="n"/>
    </row>
    <row r="17" ht="30" customHeight="1" s="33">
      <c r="A17" s="17" t="inlineStr">
        <is>
          <t>V13.3</t>
        </is>
      </c>
      <c r="B17" s="17" t="inlineStr">
        <is>
          <t>Secret Management</t>
        </is>
      </c>
      <c r="C17" s="18" t="inlineStr">
        <is>
          <t>V13.3.3</t>
        </is>
      </c>
      <c r="D17" s="19" t="inlineStr">
        <is>
          <t>Verify that all cryptographic operations are performed using an isolated security module (such as a vault or hardware security module) to securely manage and protect key material from exposure outside of the security module.</t>
        </is>
      </c>
      <c r="E17" s="26" t="n">
        <v>3</v>
      </c>
      <c r="F17" s="21" t="inlineStr">
        <is>
          <t>Not Started</t>
        </is>
      </c>
      <c r="G17" s="19" t="n"/>
      <c r="H17" s="19" t="n"/>
    </row>
    <row r="18" ht="30" customHeight="1" s="33">
      <c r="A18" s="22" t="inlineStr">
        <is>
          <t>V13.3</t>
        </is>
      </c>
      <c r="B18" s="22" t="inlineStr">
        <is>
          <t>Secret Management</t>
        </is>
      </c>
      <c r="C18" s="23" t="inlineStr">
        <is>
          <t>V13.3.4</t>
        </is>
      </c>
      <c r="D18" s="24" t="inlineStr">
        <is>
          <t>Verify that secrets are configured to expire and be rotated based on the application's documentation.</t>
        </is>
      </c>
      <c r="E18" s="26" t="n">
        <v>3</v>
      </c>
      <c r="F18" s="21" t="inlineStr">
        <is>
          <t>Not Started</t>
        </is>
      </c>
      <c r="G18" s="24" t="n"/>
      <c r="H18" s="24" t="n"/>
    </row>
    <row r="19" ht="18" customHeight="1" s="33">
      <c r="A19" s="16" t="inlineStr">
        <is>
          <t>V13.4</t>
        </is>
      </c>
      <c r="B19" s="16" t="inlineStr">
        <is>
          <t>Unintended Information Leakage</t>
        </is>
      </c>
      <c r="C19" s="16" t="n"/>
      <c r="D19" s="16" t="n"/>
      <c r="E19" s="16" t="n"/>
      <c r="F19" s="16" t="n"/>
      <c r="G19" s="16" t="n"/>
      <c r="H19" s="16" t="n"/>
    </row>
    <row r="20" ht="30" customHeight="1" s="33">
      <c r="A20" s="17" t="inlineStr">
        <is>
          <t>V13.4</t>
        </is>
      </c>
      <c r="B20" s="17" t="inlineStr">
        <is>
          <t>Unintended Information Leakage</t>
        </is>
      </c>
      <c r="C20" s="18" t="inlineStr">
        <is>
          <t>V13.4.1</t>
        </is>
      </c>
      <c r="D20" s="19" t="inlineStr">
        <is>
          <t>Verify that the application is deployed either without any source control metadata, including the .git or .svn folders, or in a way that these folders are inaccessible both externally and to the application itself.</t>
        </is>
      </c>
      <c r="E20" s="25" t="n">
        <v>1</v>
      </c>
      <c r="F20" s="21" t="inlineStr">
        <is>
          <t>Not Started</t>
        </is>
      </c>
      <c r="G20" s="19" t="n"/>
      <c r="H20" s="19" t="n"/>
    </row>
    <row r="21" ht="30" customHeight="1" s="33">
      <c r="A21" s="22" t="inlineStr">
        <is>
          <t>V13.4</t>
        </is>
      </c>
      <c r="B21" s="22" t="inlineStr">
        <is>
          <t>Unintended Information Leakage</t>
        </is>
      </c>
      <c r="C21" s="23" t="inlineStr">
        <is>
          <t>V13.4.2</t>
        </is>
      </c>
      <c r="D21" s="24" t="inlineStr">
        <is>
          <t>Verify that debug modes are disabled for all components in production environments to prevent exposure of debugging features and information leakage.</t>
        </is>
      </c>
      <c r="E21" s="20" t="n">
        <v>2</v>
      </c>
      <c r="F21" s="21" t="inlineStr">
        <is>
          <t>Not Started</t>
        </is>
      </c>
      <c r="G21" s="24" t="n"/>
      <c r="H21" s="24" t="n"/>
    </row>
    <row r="22" ht="30" customHeight="1" s="33">
      <c r="A22" s="17" t="inlineStr">
        <is>
          <t>V13.4</t>
        </is>
      </c>
      <c r="B22" s="17" t="inlineStr">
        <is>
          <t>Unintended Information Leakage</t>
        </is>
      </c>
      <c r="C22" s="18" t="inlineStr">
        <is>
          <t>V13.4.3</t>
        </is>
      </c>
      <c r="D22" s="19" t="inlineStr">
        <is>
          <t>Verify that web servers do not expose directory listings to clients unless explicitly intended.</t>
        </is>
      </c>
      <c r="E22" s="20" t="n">
        <v>2</v>
      </c>
      <c r="F22" s="21" t="inlineStr">
        <is>
          <t>Not Started</t>
        </is>
      </c>
      <c r="G22" s="19" t="n"/>
      <c r="H22" s="19" t="n"/>
    </row>
    <row r="23" ht="30" customHeight="1" s="33">
      <c r="A23" s="22" t="inlineStr">
        <is>
          <t>V13.4</t>
        </is>
      </c>
      <c r="B23" s="22" t="inlineStr">
        <is>
          <t>Unintended Information Leakage</t>
        </is>
      </c>
      <c r="C23" s="23" t="inlineStr">
        <is>
          <t>V13.4.4</t>
        </is>
      </c>
      <c r="D23" s="24" t="inlineStr">
        <is>
          <t>Verify that using the HTTP TRACE method is not supported in production environments, to avoid potential information leakage.</t>
        </is>
      </c>
      <c r="E23" s="20" t="n">
        <v>2</v>
      </c>
      <c r="F23" s="21" t="inlineStr">
        <is>
          <t>Not Started</t>
        </is>
      </c>
      <c r="G23" s="24" t="n"/>
      <c r="H23" s="24" t="n"/>
    </row>
    <row r="24" ht="30" customHeight="1" s="33">
      <c r="A24" s="17" t="inlineStr">
        <is>
          <t>V13.4</t>
        </is>
      </c>
      <c r="B24" s="17" t="inlineStr">
        <is>
          <t>Unintended Information Leakage</t>
        </is>
      </c>
      <c r="C24" s="18" t="inlineStr">
        <is>
          <t>V13.4.5</t>
        </is>
      </c>
      <c r="D24" s="19" t="inlineStr">
        <is>
          <t>Verify that documentation (such as for internal APIs) and monitoring endpoints are not exposed unless explicitly intended.</t>
        </is>
      </c>
      <c r="E24" s="20" t="n">
        <v>2</v>
      </c>
      <c r="F24" s="21" t="inlineStr">
        <is>
          <t>Not Started</t>
        </is>
      </c>
      <c r="G24" s="19" t="n"/>
      <c r="H24" s="19" t="n"/>
    </row>
    <row r="25" ht="30" customHeight="1" s="33">
      <c r="A25" s="22" t="inlineStr">
        <is>
          <t>V13.4</t>
        </is>
      </c>
      <c r="B25" s="22" t="inlineStr">
        <is>
          <t>Unintended Information Leakage</t>
        </is>
      </c>
      <c r="C25" s="23" t="inlineStr">
        <is>
          <t>V13.4.6</t>
        </is>
      </c>
      <c r="D25" s="24" t="inlineStr">
        <is>
          <t>Verify that the application does not expose detailed version information of backend components.</t>
        </is>
      </c>
      <c r="E25" s="26" t="n">
        <v>3</v>
      </c>
      <c r="F25" s="21" t="inlineStr">
        <is>
          <t>Not Started</t>
        </is>
      </c>
      <c r="G25" s="24" t="n"/>
      <c r="H25" s="24" t="n"/>
    </row>
    <row r="26" ht="30" customHeight="1" s="33">
      <c r="A26" s="17" t="inlineStr">
        <is>
          <t>V13.4</t>
        </is>
      </c>
      <c r="B26" s="17" t="inlineStr">
        <is>
          <t>Unintended Information Leakage</t>
        </is>
      </c>
      <c r="C26" s="18" t="inlineStr">
        <is>
          <t>V13.4.7</t>
        </is>
      </c>
      <c r="D26" s="19" t="inlineStr">
        <is>
          <t>Verify that the web tier is configured to only serve files with specific file extensions to prevent unintentional information, configuration, and source code leakage.</t>
        </is>
      </c>
      <c r="E26" s="26" t="n">
        <v>3</v>
      </c>
      <c r="F26" s="21" t="inlineStr">
        <is>
          <t>Not Started</t>
        </is>
      </c>
      <c r="G26" s="19" t="n"/>
      <c r="H26" s="19" t="n"/>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sheetPr>
    <outlinePr summaryBelow="1" summaryRight="1"/>
    <pageSetUpPr/>
  </sheetPr>
  <dimension ref="A1:H17"/>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V14.1</t>
        </is>
      </c>
      <c r="B2" s="16" t="inlineStr">
        <is>
          <t>Data Protection Documentation</t>
        </is>
      </c>
      <c r="C2" s="16" t="n"/>
      <c r="D2" s="16" t="n"/>
      <c r="E2" s="16" t="n"/>
      <c r="F2" s="16" t="n"/>
      <c r="G2" s="16" t="n"/>
      <c r="H2" s="16" t="n"/>
    </row>
    <row r="3" ht="30" customHeight="1" s="33">
      <c r="A3" s="17" t="inlineStr">
        <is>
          <t>V14.1</t>
        </is>
      </c>
      <c r="B3" s="17" t="inlineStr">
        <is>
          <t>Data Protection Documentation</t>
        </is>
      </c>
      <c r="C3" s="18" t="inlineStr">
        <is>
          <t>V14.1.1</t>
        </is>
      </c>
      <c r="D3" s="19"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20" t="n">
        <v>2</v>
      </c>
      <c r="F3" s="21" t="inlineStr">
        <is>
          <t>Not Started</t>
        </is>
      </c>
      <c r="G3" s="19" t="inlineStr">
        <is>
          <t>[RF02] Os documentos jurídicos guardados têm de ser classificados e os seus requisitos de proteção documentados.
[RF03] Projeto: Dados classificados em 3 níveis: público, confidencial (dados de processo), altamente sensível (dados pessoais de clientes). Classificação documentada conforme RGPD.
[RF04] RF04 classifica os metadados de auditoria como dados sensíveis (UserID, IP, GUID do processo) e define que não podem ser armazenados em texto plano.</t>
        </is>
      </c>
      <c r="H3" s="19" t="n"/>
    </row>
    <row r="4" ht="30" customHeight="1" s="33">
      <c r="A4" s="22" t="inlineStr">
        <is>
          <t>V14.1</t>
        </is>
      </c>
      <c r="B4" s="22" t="inlineStr">
        <is>
          <t>Data Protection Documentation</t>
        </is>
      </c>
      <c r="C4" s="23" t="inlineStr">
        <is>
          <t>V14.1.2</t>
        </is>
      </c>
      <c r="D4" s="24"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20" t="n">
        <v>2</v>
      </c>
      <c r="F4" s="21" t="inlineStr">
        <is>
          <t>Not Started</t>
        </is>
      </c>
      <c r="G4" s="24" t="inlineStr">
        <is>
          <t>[RF02] Os requisitos de proteção dos documentos têm de estar documentados
[RF03] Projeto: Requisitos de proteção por nível documentados: AES-256-GCM para dados confidenciais e sensíveis, retenção de 10 anos para processos jurídicos, acesso RBAC.
[RF04] RF04 define requisitos de proteção para logs: sem dados sensíveis em claro, acesso restrito por RBAC, persistência em BD relacional e integração com SIEM.</t>
        </is>
      </c>
      <c r="H4" s="24" t="n"/>
    </row>
    <row r="5" ht="18" customHeight="1" s="33">
      <c r="A5" s="16" t="inlineStr">
        <is>
          <t>V14.2</t>
        </is>
      </c>
      <c r="B5" s="16" t="inlineStr">
        <is>
          <t>General Data Protection</t>
        </is>
      </c>
      <c r="C5" s="16" t="n"/>
      <c r="D5" s="16" t="n"/>
      <c r="E5" s="16" t="n"/>
      <c r="F5" s="16" t="n"/>
      <c r="G5" s="16" t="n"/>
      <c r="H5" s="16" t="n"/>
    </row>
    <row r="6" ht="30" customHeight="1" s="33">
      <c r="A6" s="17" t="inlineStr">
        <is>
          <t>V14.2</t>
        </is>
      </c>
      <c r="B6" s="17" t="inlineStr">
        <is>
          <t>General Data Protection</t>
        </is>
      </c>
      <c r="C6" s="18" t="inlineStr">
        <is>
          <t>V14.2.1</t>
        </is>
      </c>
      <c r="D6" s="19" t="inlineStr">
        <is>
          <t>Verify that sensitive data is only sent to the server in the HTTP message body or header fields, and that the URL and query string do not contain sensitive information, such as an API key or session token.</t>
        </is>
      </c>
      <c r="E6" s="25" t="n">
        <v>1</v>
      </c>
      <c r="F6" s="21" t="inlineStr">
        <is>
          <t>Not Started</t>
        </is>
      </c>
      <c r="G6" s="19" t="inlineStr">
        <is>
          <t>[RF02] O Process ID e outros identificadores têm de ser enviados no corpo do HTTP ou em headers
[RF03] Projeto: Tokens JWT e dados sensíveis transmitidos exclusivamente no body/headers HTTP; paths e queries não contêm dados sensíveis.</t>
        </is>
      </c>
      <c r="H6" s="19" t="n"/>
    </row>
    <row r="7" ht="30" customHeight="1" s="33">
      <c r="A7" s="22" t="inlineStr">
        <is>
          <t>V14.2</t>
        </is>
      </c>
      <c r="B7" s="22" t="inlineStr">
        <is>
          <t>General Data Protection</t>
        </is>
      </c>
      <c r="C7" s="23" t="inlineStr">
        <is>
          <t>V14.2.2</t>
        </is>
      </c>
      <c r="D7" s="24" t="inlineStr">
        <is>
          <t>Verify that the application prevents sensitive data from being cached in server components, such as load balancers and application caches, or ensures that the data is securely purged after use.</t>
        </is>
      </c>
      <c r="E7" s="20" t="n">
        <v>2</v>
      </c>
      <c r="F7" s="21" t="inlineStr">
        <is>
          <t>Not Started</t>
        </is>
      </c>
      <c r="G7" s="24" t="n"/>
      <c r="H7" s="24" t="n"/>
    </row>
    <row r="8" ht="30" customHeight="1" s="33">
      <c r="A8" s="17" t="inlineStr">
        <is>
          <t>V14.2</t>
        </is>
      </c>
      <c r="B8" s="17" t="inlineStr">
        <is>
          <t>General Data Protection</t>
        </is>
      </c>
      <c r="C8" s="18" t="inlineStr">
        <is>
          <t>V14.2.3</t>
        </is>
      </c>
      <c r="D8" s="19" t="inlineStr">
        <is>
          <t>Verify that defined sensitive data is not sent to untrusted parties (e.g., user trackers) to prevent unwanted collection of data outside of the application's control.</t>
        </is>
      </c>
      <c r="E8" s="20" t="n">
        <v>2</v>
      </c>
      <c r="F8" s="21" t="inlineStr">
        <is>
          <t>Not Started</t>
        </is>
      </c>
      <c r="G8" s="19" t="n"/>
      <c r="H8" s="19" t="n"/>
    </row>
    <row r="9" ht="30" customHeight="1" s="33">
      <c r="A9" s="22" t="inlineStr">
        <is>
          <t>V14.2</t>
        </is>
      </c>
      <c r="B9" s="22" t="inlineStr">
        <is>
          <t>General Data Protection</t>
        </is>
      </c>
      <c r="C9" s="23" t="inlineStr">
        <is>
          <t>V14.2.4</t>
        </is>
      </c>
      <c r="D9" s="24"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20" t="n">
        <v>2</v>
      </c>
      <c r="F9" s="21" t="inlineStr">
        <is>
          <t>Not Started</t>
        </is>
      </c>
      <c r="G9" s="24" t="inlineStr">
        <is>
          <t>[RF02] A cifra tem de corresponder ao nível de proteção documentado
[RF03] Projeto: Controlos de encriptação em repouso implementados; controlos de integridade e retenção automática em desenvolvimento.
[RF04] RF04: controlos de acesso (RBAC), confidencialidade (sem dados sensíveis em claro) e retenção de logs implementados conforme documentação da RF04.</t>
        </is>
      </c>
      <c r="H9" s="24" t="n"/>
    </row>
    <row r="10" ht="30" customHeight="1" s="33">
      <c r="A10" s="17" t="inlineStr">
        <is>
          <t>V14.2</t>
        </is>
      </c>
      <c r="B10" s="17" t="inlineStr">
        <is>
          <t>General Data Protection</t>
        </is>
      </c>
      <c r="C10" s="18" t="inlineStr">
        <is>
          <t>V14.2.5</t>
        </is>
      </c>
      <c r="D10" s="19"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26" t="n">
        <v>3</v>
      </c>
      <c r="F10" s="21" t="inlineStr">
        <is>
          <t>Not Started</t>
        </is>
      </c>
      <c r="G10" s="19" t="n"/>
      <c r="H10" s="19" t="n"/>
    </row>
    <row r="11" ht="30" customHeight="1" s="33">
      <c r="A11" s="22" t="inlineStr">
        <is>
          <t>V14.2</t>
        </is>
      </c>
      <c r="B11" s="22" t="inlineStr">
        <is>
          <t>General Data Protection</t>
        </is>
      </c>
      <c r="C11" s="23" t="inlineStr">
        <is>
          <t>V14.2.6</t>
        </is>
      </c>
      <c r="D11" s="24"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26" t="n">
        <v>3</v>
      </c>
      <c r="F11" s="21" t="inlineStr">
        <is>
          <t>Not Started</t>
        </is>
      </c>
      <c r="G11" s="24" t="inlineStr">
        <is>
          <t>[RF02] Listagem só deve devolver metadados</t>
        </is>
      </c>
      <c r="H11" s="24" t="n"/>
    </row>
    <row r="12" ht="30" customHeight="1" s="33">
      <c r="A12" s="17" t="inlineStr">
        <is>
          <t>V14.2</t>
        </is>
      </c>
      <c r="B12" s="17" t="inlineStr">
        <is>
          <t>General Data Protection</t>
        </is>
      </c>
      <c r="C12" s="18" t="inlineStr">
        <is>
          <t>V14.2.7</t>
        </is>
      </c>
      <c r="D12" s="19" t="inlineStr">
        <is>
          <t>Verify that sensitive information is subject to data retention classification, ensuring that outdated or unnecessary data is deleted automatically, on a defined schedule, or as the situation requires.</t>
        </is>
      </c>
      <c r="E12" s="26" t="n">
        <v>3</v>
      </c>
      <c r="F12" s="21" t="inlineStr">
        <is>
          <t>Not Started</t>
        </is>
      </c>
      <c r="G12" s="19" t="inlineStr">
        <is>
          <t>[RF02] Documentos de processos encerrados têm de seguir um calendário de retenção/eliminação</t>
        </is>
      </c>
      <c r="H12" s="19" t="n"/>
    </row>
    <row r="13" ht="30" customHeight="1" s="33">
      <c r="A13" s="22" t="inlineStr">
        <is>
          <t>V14.2</t>
        </is>
      </c>
      <c r="B13" s="22" t="inlineStr">
        <is>
          <t>General Data Protection</t>
        </is>
      </c>
      <c r="C13" s="23" t="inlineStr">
        <is>
          <t>V14.2.8</t>
        </is>
      </c>
      <c r="D13" s="24" t="inlineStr">
        <is>
          <t>Verify that sensitive information is removed from the metadata of user-submitted files unless storage is consented to by the user.</t>
        </is>
      </c>
      <c r="E13" s="26" t="n">
        <v>3</v>
      </c>
      <c r="F13" s="21" t="inlineStr">
        <is>
          <t>Not Started</t>
        </is>
      </c>
      <c r="G13" s="24" t="inlineStr">
        <is>
          <t>[RF02] API tem de remover metadados antes de cifrar e guardar no SQL Server</t>
        </is>
      </c>
      <c r="H13" s="24" t="n"/>
    </row>
    <row r="14" ht="18" customHeight="1" s="33">
      <c r="A14" s="16" t="inlineStr">
        <is>
          <t>V14.3</t>
        </is>
      </c>
      <c r="B14" s="16" t="inlineStr">
        <is>
          <t>Client-side Data Protection</t>
        </is>
      </c>
      <c r="C14" s="16" t="n"/>
      <c r="D14" s="16" t="n"/>
      <c r="E14" s="16" t="n"/>
      <c r="F14" s="16" t="n"/>
      <c r="G14" s="16" t="n"/>
      <c r="H14" s="16" t="n"/>
    </row>
    <row r="15" ht="30" customHeight="1" s="33">
      <c r="A15" s="17" t="inlineStr">
        <is>
          <t>V14.3</t>
        </is>
      </c>
      <c r="B15" s="17" t="inlineStr">
        <is>
          <t>Client-side Data Protection</t>
        </is>
      </c>
      <c r="C15" s="18" t="inlineStr">
        <is>
          <t>V14.3.1</t>
        </is>
      </c>
      <c r="D15" s="19"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25" t="n">
        <v>1</v>
      </c>
      <c r="F15" s="21" t="inlineStr">
        <is>
          <t>Not Started</t>
        </is>
      </c>
      <c r="G15" s="19" t="n"/>
      <c r="H15" s="19" t="n"/>
    </row>
    <row r="16" ht="30" customHeight="1" s="33">
      <c r="A16" s="22" t="inlineStr">
        <is>
          <t>V14.3</t>
        </is>
      </c>
      <c r="B16" s="22" t="inlineStr">
        <is>
          <t>Client-side Data Protection</t>
        </is>
      </c>
      <c r="C16" s="23" t="inlineStr">
        <is>
          <t>V14.3.2</t>
        </is>
      </c>
      <c r="D16" s="24" t="inlineStr">
        <is>
          <t>Verify that the application sets sufficient anti-caching HTTP response header fields (i.e., Cache-Control: no-store) so that sensitive data is not cached in browsers.</t>
        </is>
      </c>
      <c r="E16" s="20" t="n">
        <v>2</v>
      </c>
      <c r="F16" s="21" t="inlineStr">
        <is>
          <t>Not Started</t>
        </is>
      </c>
      <c r="G16" s="24" t="n"/>
      <c r="H16" s="24" t="n"/>
    </row>
    <row r="17" ht="30" customHeight="1" s="33">
      <c r="A17" s="17" t="inlineStr">
        <is>
          <t>V14.3</t>
        </is>
      </c>
      <c r="B17" s="17" t="inlineStr">
        <is>
          <t>Client-side Data Protection</t>
        </is>
      </c>
      <c r="C17" s="18" t="inlineStr">
        <is>
          <t>V14.3.3</t>
        </is>
      </c>
      <c r="D17" s="19" t="inlineStr">
        <is>
          <t>Verify that data stored in browser storage (such as localStorage, sessionStorage, IndexedDB, or cookies) does not contain sensitive data, with the exception of session tokens.</t>
        </is>
      </c>
      <c r="E17" s="20" t="n">
        <v>2</v>
      </c>
      <c r="F17" s="21" t="inlineStr">
        <is>
          <t>Not Started</t>
        </is>
      </c>
      <c r="G17" s="19" t="n"/>
      <c r="H17" s="19" t="n"/>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sheetPr>
    <outlinePr summaryBelow="1" summaryRight="1"/>
    <pageSetUpPr/>
  </sheetPr>
  <dimension ref="A1:H26"/>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V15.1</t>
        </is>
      </c>
      <c r="B2" s="16" t="inlineStr">
        <is>
          <t>Secure Coding and Architecture Documentation</t>
        </is>
      </c>
      <c r="C2" s="16" t="n"/>
      <c r="D2" s="16" t="n"/>
      <c r="E2" s="16" t="n"/>
      <c r="F2" s="16" t="n"/>
      <c r="G2" s="16" t="n"/>
      <c r="H2" s="16" t="n"/>
    </row>
    <row r="3" ht="30" customHeight="1" s="33">
      <c r="A3" s="17" t="inlineStr">
        <is>
          <t>V15.1</t>
        </is>
      </c>
      <c r="B3" s="17" t="inlineStr">
        <is>
          <t>Secure Coding and Architecture Documentation</t>
        </is>
      </c>
      <c r="C3" s="18" t="inlineStr">
        <is>
          <t>V15.1.1</t>
        </is>
      </c>
      <c r="D3" s="19" t="inlineStr">
        <is>
          <t>Verify that application documentation defines risk based remediation time frames for 3rd party component versions with vulnerabilities and for updating libraries in general, to minimize the risk from these components.</t>
        </is>
      </c>
      <c r="E3" s="25" t="n">
        <v>1</v>
      </c>
      <c r="F3" s="21" t="inlineStr">
        <is>
          <t>Not Started</t>
        </is>
      </c>
      <c r="G3" s="19" t="n"/>
      <c r="H3" s="19" t="n"/>
    </row>
    <row r="4" ht="30" customHeight="1" s="33">
      <c r="A4" s="22" t="inlineStr">
        <is>
          <t>V15.1</t>
        </is>
      </c>
      <c r="B4" s="22" t="inlineStr">
        <is>
          <t>Secure Coding and Architecture Documentation</t>
        </is>
      </c>
      <c r="C4" s="23" t="inlineStr">
        <is>
          <t>V15.1.2</t>
        </is>
      </c>
      <c r="D4" s="24" t="inlineStr">
        <is>
          <t>Verify that an inventory catalog, such as software bill of materials (SBOM), is maintained of all third-party libraries in use, including verifying that components come from pre-defined, trusted, and continually maintained repositories.</t>
        </is>
      </c>
      <c r="E4" s="20" t="n">
        <v>2</v>
      </c>
      <c r="F4" s="21" t="inlineStr">
        <is>
          <t>Not Started</t>
        </is>
      </c>
      <c r="G4" s="24" t="n"/>
      <c r="H4" s="24" t="n"/>
    </row>
    <row r="5" ht="30" customHeight="1" s="33">
      <c r="A5" s="17" t="inlineStr">
        <is>
          <t>V15.1</t>
        </is>
      </c>
      <c r="B5" s="17" t="inlineStr">
        <is>
          <t>Secure Coding and Architecture Documentation</t>
        </is>
      </c>
      <c r="C5" s="18" t="inlineStr">
        <is>
          <t>V15.1.3</t>
        </is>
      </c>
      <c r="D5" s="19"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20" t="n">
        <v>2</v>
      </c>
      <c r="F5" s="21" t="inlineStr">
        <is>
          <t>Not Started</t>
        </is>
      </c>
      <c r="G5" s="19" t="inlineStr">
        <is>
          <t>[RF04] RF04 T4.4 (DoS/Flood – Crítico, DREAD 48): logging em massa é funcionalidade intensiva. Mitigação via Rate Limiting e processamento assíncrono de logs.</t>
        </is>
      </c>
      <c r="H5" s="19" t="n"/>
    </row>
    <row r="6" ht="30" customHeight="1" s="33">
      <c r="A6" s="22" t="inlineStr">
        <is>
          <t>V15.1</t>
        </is>
      </c>
      <c r="B6" s="22" t="inlineStr">
        <is>
          <t>Secure Coding and Architecture Documentation</t>
        </is>
      </c>
      <c r="C6" s="23" t="inlineStr">
        <is>
          <t>V15.1.4</t>
        </is>
      </c>
      <c r="D6" s="24" t="inlineStr">
        <is>
          <t>Verify that application documentation highlights third-party libraries which are considered to be "risky components".</t>
        </is>
      </c>
      <c r="E6" s="26" t="n">
        <v>3</v>
      </c>
      <c r="F6" s="21" t="inlineStr">
        <is>
          <t>Not Started</t>
        </is>
      </c>
      <c r="G6" s="24" t="n"/>
      <c r="H6" s="24" t="n"/>
    </row>
    <row r="7" ht="30" customHeight="1" s="33">
      <c r="A7" s="17" t="inlineStr">
        <is>
          <t>V15.1</t>
        </is>
      </c>
      <c r="B7" s="17" t="inlineStr">
        <is>
          <t>Secure Coding and Architecture Documentation</t>
        </is>
      </c>
      <c r="C7" s="18" t="inlineStr">
        <is>
          <t>V15.1.5</t>
        </is>
      </c>
      <c r="D7" s="19" t="inlineStr">
        <is>
          <t>Verify that application documentation highlights parts of the application where "dangerous functionality" is being used.</t>
        </is>
      </c>
      <c r="E7" s="26" t="n">
        <v>3</v>
      </c>
      <c r="F7" s="21" t="inlineStr">
        <is>
          <t>Not Started</t>
        </is>
      </c>
      <c r="G7" s="19" t="n"/>
      <c r="H7" s="19" t="n"/>
    </row>
    <row r="8" ht="18" customHeight="1" s="33">
      <c r="A8" s="16" t="inlineStr">
        <is>
          <t>V15.2</t>
        </is>
      </c>
      <c r="B8" s="16" t="inlineStr">
        <is>
          <t>Security Architecture and Dependencies</t>
        </is>
      </c>
      <c r="C8" s="16" t="n"/>
      <c r="D8" s="16" t="n"/>
      <c r="E8" s="16" t="n"/>
      <c r="F8" s="16" t="n"/>
      <c r="G8" s="16" t="n"/>
      <c r="H8" s="16" t="n"/>
    </row>
    <row r="9" ht="30" customHeight="1" s="33">
      <c r="A9" s="17" t="inlineStr">
        <is>
          <t>V15.2</t>
        </is>
      </c>
      <c r="B9" s="17" t="inlineStr">
        <is>
          <t>Security Architecture and Dependencies</t>
        </is>
      </c>
      <c r="C9" s="18" t="inlineStr">
        <is>
          <t>V15.2.1</t>
        </is>
      </c>
      <c r="D9" s="19" t="inlineStr">
        <is>
          <t>Verify that the application only contains components which have not breached the documented update and remediation time frames.</t>
        </is>
      </c>
      <c r="E9" s="25" t="n">
        <v>1</v>
      </c>
      <c r="F9" s="21" t="inlineStr">
        <is>
          <t>Not Started</t>
        </is>
      </c>
      <c r="G9" s="19" t="n"/>
      <c r="H9" s="19" t="n"/>
    </row>
    <row r="10" ht="30" customHeight="1" s="33">
      <c r="A10" s="22" t="inlineStr">
        <is>
          <t>V15.2</t>
        </is>
      </c>
      <c r="B10" s="22" t="inlineStr">
        <is>
          <t>Security Architecture and Dependencies</t>
        </is>
      </c>
      <c r="C10" s="23" t="inlineStr">
        <is>
          <t>V15.2.2</t>
        </is>
      </c>
      <c r="D10" s="24" t="inlineStr">
        <is>
          <t>Verify that the application has implemented defenses against loss of availability due to functionality which is time-consuming or resource-demanding, based on the documented security decisions and strategies for this.</t>
        </is>
      </c>
      <c r="E10" s="20" t="n">
        <v>2</v>
      </c>
      <c r="F10" s="21" t="inlineStr">
        <is>
          <t>Not Started</t>
        </is>
      </c>
      <c r="G10" s="24" t="n"/>
      <c r="H10" s="24" t="n"/>
    </row>
    <row r="11" ht="30" customHeight="1" s="33">
      <c r="A11" s="17" t="inlineStr">
        <is>
          <t>V15.2</t>
        </is>
      </c>
      <c r="B11" s="17" t="inlineStr">
        <is>
          <t>Security Architecture and Dependencies</t>
        </is>
      </c>
      <c r="C11" s="18" t="inlineStr">
        <is>
          <t>V15.2.3</t>
        </is>
      </c>
      <c r="D11" s="19" t="inlineStr">
        <is>
          <t>Verify that the production environment only includes functionality that is required for the application to function, and does not expose extraneous functionality such as test code, sample snippets, and development functionality.</t>
        </is>
      </c>
      <c r="E11" s="20" t="n">
        <v>2</v>
      </c>
      <c r="F11" s="21" t="inlineStr">
        <is>
          <t>Not Started</t>
        </is>
      </c>
      <c r="G11" s="19" t="n"/>
      <c r="H11" s="19" t="n"/>
    </row>
    <row r="12" ht="30" customHeight="1" s="33">
      <c r="A12" s="22" t="inlineStr">
        <is>
          <t>V15.2</t>
        </is>
      </c>
      <c r="B12" s="22" t="inlineStr">
        <is>
          <t>Security Architecture and Dependencies</t>
        </is>
      </c>
      <c r="C12" s="23" t="inlineStr">
        <is>
          <t>V15.2.4</t>
        </is>
      </c>
      <c r="D12" s="24" t="inlineStr">
        <is>
          <t>Verify that third-party components and all of their transitive dependencies are included from the expected repository, whether internally owned or an external source, and that there is no risk of a dependency confusion attack.</t>
        </is>
      </c>
      <c r="E12" s="26" t="n">
        <v>3</v>
      </c>
      <c r="F12" s="21" t="inlineStr">
        <is>
          <t>Not Started</t>
        </is>
      </c>
      <c r="G12" s="24" t="n"/>
      <c r="H12" s="24" t="n"/>
    </row>
    <row r="13" ht="30" customHeight="1" s="33">
      <c r="A13" s="17" t="inlineStr">
        <is>
          <t>V15.2</t>
        </is>
      </c>
      <c r="B13" s="17" t="inlineStr">
        <is>
          <t>Security Architecture and Dependencies</t>
        </is>
      </c>
      <c r="C13" s="18" t="inlineStr">
        <is>
          <t>V15.2.5</t>
        </is>
      </c>
      <c r="D13" s="19"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26" t="n">
        <v>3</v>
      </c>
      <c r="F13" s="21" t="inlineStr">
        <is>
          <t>Not Started</t>
        </is>
      </c>
      <c r="G13" s="19" t="n"/>
      <c r="H13" s="19" t="n"/>
    </row>
    <row r="14" ht="18" customHeight="1" s="33">
      <c r="A14" s="16" t="inlineStr">
        <is>
          <t>V15.3</t>
        </is>
      </c>
      <c r="B14" s="16" t="inlineStr">
        <is>
          <t>Defensive Coding</t>
        </is>
      </c>
      <c r="C14" s="16" t="n"/>
      <c r="D14" s="16" t="n"/>
      <c r="E14" s="16" t="n"/>
      <c r="F14" s="16" t="n"/>
      <c r="G14" s="16" t="n"/>
      <c r="H14" s="16" t="n"/>
    </row>
    <row r="15" ht="30" customHeight="1" s="33">
      <c r="A15" s="17" t="inlineStr">
        <is>
          <t>V15.3</t>
        </is>
      </c>
      <c r="B15" s="17" t="inlineStr">
        <is>
          <t>Defensive Coding</t>
        </is>
      </c>
      <c r="C15" s="18" t="inlineStr">
        <is>
          <t>V15.3.1</t>
        </is>
      </c>
      <c r="D15" s="19" t="inlineStr">
        <is>
          <t>Verify that the application only returns the required subset of fields from a data object. For example, it should not return an entire data object, as some individual fields should not be accessible to users.</t>
        </is>
      </c>
      <c r="E15" s="25" t="n">
        <v>1</v>
      </c>
      <c r="F15" s="21" t="inlineStr">
        <is>
          <t>Not Started</t>
        </is>
      </c>
      <c r="G15" s="19" t="n"/>
      <c r="H15" s="19" t="n"/>
    </row>
    <row r="16" ht="30" customHeight="1" s="33">
      <c r="A16" s="22" t="inlineStr">
        <is>
          <t>V15.3</t>
        </is>
      </c>
      <c r="B16" s="22" t="inlineStr">
        <is>
          <t>Defensive Coding</t>
        </is>
      </c>
      <c r="C16" s="23" t="inlineStr">
        <is>
          <t>V15.3.2</t>
        </is>
      </c>
      <c r="D16" s="24" t="inlineStr">
        <is>
          <t>Verify that where the application backend makes calls to external URLs, it is configured to not follow redirects unless it is intended functionality.</t>
        </is>
      </c>
      <c r="E16" s="20" t="n">
        <v>2</v>
      </c>
      <c r="F16" s="21" t="inlineStr">
        <is>
          <t>Not Started</t>
        </is>
      </c>
      <c r="G16" s="24" t="n"/>
      <c r="H16" s="24" t="n"/>
    </row>
    <row r="17" ht="30" customHeight="1" s="33">
      <c r="A17" s="17" t="inlineStr">
        <is>
          <t>V15.3</t>
        </is>
      </c>
      <c r="B17" s="17" t="inlineStr">
        <is>
          <t>Defensive Coding</t>
        </is>
      </c>
      <c r="C17" s="18" t="inlineStr">
        <is>
          <t>V15.3.3</t>
        </is>
      </c>
      <c r="D17" s="19"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20" t="n">
        <v>2</v>
      </c>
      <c r="F17" s="21" t="inlineStr">
        <is>
          <t>Not Started</t>
        </is>
      </c>
      <c r="G17" s="19" t="n"/>
      <c r="H17" s="19" t="n"/>
    </row>
    <row r="18" ht="30" customHeight="1" s="33">
      <c r="A18" s="22" t="inlineStr">
        <is>
          <t>V15.3</t>
        </is>
      </c>
      <c r="B18" s="22" t="inlineStr">
        <is>
          <t>Defensive Coding</t>
        </is>
      </c>
      <c r="C18" s="23" t="inlineStr">
        <is>
          <t>V15.3.4</t>
        </is>
      </c>
      <c r="D18" s="24"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20" t="n">
        <v>2</v>
      </c>
      <c r="F18" s="21" t="inlineStr">
        <is>
          <t>Not Started</t>
        </is>
      </c>
      <c r="G18" s="24" t="n"/>
      <c r="H18" s="24" t="n"/>
    </row>
    <row r="19" ht="30" customHeight="1" s="33">
      <c r="A19" s="17" t="inlineStr">
        <is>
          <t>V15.3</t>
        </is>
      </c>
      <c r="B19" s="17" t="inlineStr">
        <is>
          <t>Defensive Coding</t>
        </is>
      </c>
      <c r="C19" s="18" t="inlineStr">
        <is>
          <t>V15.3.5</t>
        </is>
      </c>
      <c r="D19" s="19"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20" t="n">
        <v>2</v>
      </c>
      <c r="F19" s="21" t="inlineStr">
        <is>
          <t>Not Started</t>
        </is>
      </c>
      <c r="G19" s="19" t="n"/>
      <c r="H19" s="19" t="n"/>
    </row>
    <row r="20" ht="30" customHeight="1" s="33">
      <c r="A20" s="22" t="inlineStr">
        <is>
          <t>V15.3</t>
        </is>
      </c>
      <c r="B20" s="22" t="inlineStr">
        <is>
          <t>Defensive Coding</t>
        </is>
      </c>
      <c r="C20" s="23" t="inlineStr">
        <is>
          <t>V15.3.6</t>
        </is>
      </c>
      <c r="D20" s="24" t="inlineStr">
        <is>
          <t>Verify that JavaScript code is written in a way that prevents prototype pollution, for example, by using Set() or Map() instead of object literals.</t>
        </is>
      </c>
      <c r="E20" s="20" t="n">
        <v>2</v>
      </c>
      <c r="F20" s="21" t="inlineStr">
        <is>
          <t>Not Started</t>
        </is>
      </c>
      <c r="G20" s="24" t="n"/>
      <c r="H20" s="24" t="n"/>
    </row>
    <row r="21" ht="30" customHeight="1" s="33">
      <c r="A21" s="17" t="inlineStr">
        <is>
          <t>V15.3</t>
        </is>
      </c>
      <c r="B21" s="17" t="inlineStr">
        <is>
          <t>Defensive Coding</t>
        </is>
      </c>
      <c r="C21" s="18" t="inlineStr">
        <is>
          <t>V15.3.7</t>
        </is>
      </c>
      <c r="D21" s="19" t="inlineStr">
        <is>
          <t>Verify that the application has defenses against HTTP parameter pollution attacks, particularly if the application framework makes no distinction about the source of request parameters (query string, body parameters, cookies, or header fields).</t>
        </is>
      </c>
      <c r="E21" s="20" t="n">
        <v>2</v>
      </c>
      <c r="F21" s="21" t="inlineStr">
        <is>
          <t>Not Started</t>
        </is>
      </c>
      <c r="G21" s="19" t="n"/>
      <c r="H21" s="19" t="n"/>
    </row>
    <row r="22" ht="18" customHeight="1" s="33">
      <c r="A22" s="16" t="inlineStr">
        <is>
          <t>V15.4</t>
        </is>
      </c>
      <c r="B22" s="16" t="inlineStr">
        <is>
          <t>Safe Concurrency</t>
        </is>
      </c>
      <c r="C22" s="16" t="n"/>
      <c r="D22" s="16" t="n"/>
      <c r="E22" s="16" t="n"/>
      <c r="F22" s="16" t="n"/>
      <c r="G22" s="16" t="n"/>
      <c r="H22" s="16" t="n"/>
    </row>
    <row r="23" ht="30" customHeight="1" s="33">
      <c r="A23" s="17" t="inlineStr">
        <is>
          <t>V15.4</t>
        </is>
      </c>
      <c r="B23" s="17" t="inlineStr">
        <is>
          <t>Safe Concurrency</t>
        </is>
      </c>
      <c r="C23" s="18" t="inlineStr">
        <is>
          <t>V15.4.1</t>
        </is>
      </c>
      <c r="D23" s="19"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26" t="n">
        <v>3</v>
      </c>
      <c r="F23" s="21" t="inlineStr">
        <is>
          <t>Not Started</t>
        </is>
      </c>
      <c r="G23" s="19" t="n"/>
      <c r="H23" s="19" t="n"/>
    </row>
    <row r="24" ht="30" customHeight="1" s="33">
      <c r="A24" s="22" t="inlineStr">
        <is>
          <t>V15.4</t>
        </is>
      </c>
      <c r="B24" s="22" t="inlineStr">
        <is>
          <t>Safe Concurrency</t>
        </is>
      </c>
      <c r="C24" s="23" t="inlineStr">
        <is>
          <t>V15.4.2</t>
        </is>
      </c>
      <c r="D24" s="24"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26" t="n">
        <v>3</v>
      </c>
      <c r="F24" s="21" t="inlineStr">
        <is>
          <t>Not Started</t>
        </is>
      </c>
      <c r="G24" s="24" t="n"/>
      <c r="H24" s="24" t="n"/>
    </row>
    <row r="25" ht="30" customHeight="1" s="33">
      <c r="A25" s="17" t="inlineStr">
        <is>
          <t>V15.4</t>
        </is>
      </c>
      <c r="B25" s="17" t="inlineStr">
        <is>
          <t>Safe Concurrency</t>
        </is>
      </c>
      <c r="C25" s="18" t="inlineStr">
        <is>
          <t>V15.4.3</t>
        </is>
      </c>
      <c r="D25" s="19"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26" t="n">
        <v>3</v>
      </c>
      <c r="F25" s="21" t="inlineStr">
        <is>
          <t>Not Started</t>
        </is>
      </c>
      <c r="G25" s="19" t="n"/>
      <c r="H25" s="19" t="n"/>
    </row>
    <row r="26" ht="30" customHeight="1" s="33">
      <c r="A26" s="22" t="inlineStr">
        <is>
          <t>V15.4</t>
        </is>
      </c>
      <c r="B26" s="22" t="inlineStr">
        <is>
          <t>Safe Concurrency</t>
        </is>
      </c>
      <c r="C26" s="23" t="inlineStr">
        <is>
          <t>V15.4.4</t>
        </is>
      </c>
      <c r="D26" s="24" t="inlineStr">
        <is>
          <t>Verify that resource allocation policies prevent thread starvation by ensuring fair access to resources, such as by leveraging thread pools, allowing lower-priority threads to proceed within a reasonable timeframe.</t>
        </is>
      </c>
      <c r="E26" s="26" t="n">
        <v>3</v>
      </c>
      <c r="F26" s="21" t="inlineStr">
        <is>
          <t>Not Started</t>
        </is>
      </c>
      <c r="G26" s="24" t="n"/>
      <c r="H26" s="24" t="n"/>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sheetPr>
    <outlinePr summaryBelow="1" summaryRight="1"/>
    <pageSetUpPr/>
  </sheetPr>
  <dimension ref="A1:H23"/>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V16.1</t>
        </is>
      </c>
      <c r="B2" s="16" t="inlineStr">
        <is>
          <t>Security Logging Documentation</t>
        </is>
      </c>
      <c r="C2" s="16" t="n"/>
      <c r="D2" s="16" t="n"/>
      <c r="E2" s="16" t="n"/>
      <c r="F2" s="16" t="n"/>
      <c r="G2" s="16" t="n"/>
      <c r="H2" s="16" t="n"/>
    </row>
    <row r="3" ht="30" customHeight="1" s="33">
      <c r="A3" s="17" t="inlineStr">
        <is>
          <t>V16.1</t>
        </is>
      </c>
      <c r="B3" s="17" t="inlineStr">
        <is>
          <t>Security Logging Documentation</t>
        </is>
      </c>
      <c r="C3" s="18" t="inlineStr">
        <is>
          <t>V16.1.1</t>
        </is>
      </c>
      <c r="D3" s="19"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20" t="n">
        <v>2</v>
      </c>
      <c r="F3" s="21" t="inlineStr">
        <is>
          <t>Not Started</t>
        </is>
      </c>
      <c r="G3" s="19" t="inlineStr">
        <is>
          <t>[RF02] É preciso documentar o que é registado, em que formato, onde é guardado e quem tem acesso
[RF03] RF04: Inventário de logs documentado: eventos de acesso/modificação de ficheiros e processos, formato JSON estruturado, armazenado em base de dados separada, retenção de 5 anos.
[RF04] RF04 documenta o inventário de logging: eventos auditados (auth, CRUD, ficheiros), metadados (UserID, Role, IP, GUID, HTTP status), armazenamento em PostgreSQL e acesso por RBAC (RF01).</t>
        </is>
      </c>
      <c r="H3" s="19" t="n"/>
    </row>
    <row r="4" ht="18" customHeight="1" s="33">
      <c r="A4" s="16" t="inlineStr">
        <is>
          <t>V16.2</t>
        </is>
      </c>
      <c r="B4" s="16" t="inlineStr">
        <is>
          <t>General Logging</t>
        </is>
      </c>
      <c r="C4" s="16" t="n"/>
      <c r="D4" s="16" t="n"/>
      <c r="E4" s="16" t="n"/>
      <c r="F4" s="16" t="n"/>
      <c r="G4" s="16" t="n"/>
      <c r="H4" s="16" t="n"/>
    </row>
    <row r="5" ht="30" customHeight="1" s="33">
      <c r="A5" s="17" t="inlineStr">
        <is>
          <t>V16.2</t>
        </is>
      </c>
      <c r="B5" s="17" t="inlineStr">
        <is>
          <t>General Logging</t>
        </is>
      </c>
      <c r="C5" s="18" t="inlineStr">
        <is>
          <t>V16.2.1</t>
        </is>
      </c>
      <c r="D5" s="19" t="inlineStr">
        <is>
          <t>Verify that each log entry includes necessary metadata (such as when, where, who, what) that would allow for a detailed investigation of the timeline when an event happens.</t>
        </is>
      </c>
      <c r="E5" s="20" t="n">
        <v>2</v>
      </c>
      <c r="F5" s="21" t="inlineStr">
        <is>
          <t>Not Started</t>
        </is>
      </c>
      <c r="G5" s="19" t="inlineStr">
        <is>
          <t>[RF01] RF01: Cada log de autenticação inclui: when (timestamp UTC), where (IP origem), who (UserId), what (evento: login_success/login_failed/logout/token_refresh). Mitiga T1.3 (negação de auditoria).
[RF02] Cada entrada de log tem de incluir: timestamp, ID do utilizador, role, operação, Process ID e nome do ficheiro
[RF03] RF04: Cada entrada de log inclui: timestamp UTC, userId, papel, processId, operação (upload/download/delete), ficheiro afetado, endereço IP de origem.
[RF04] RF04 define que cada log inclui: UserID (quem), IP (onde), timestamp UTC (quando), tipo de operação e GUID do processo (o quê), e resultado/HTTP status.</t>
        </is>
      </c>
      <c r="H5" s="19" t="n"/>
    </row>
    <row r="6" ht="30" customHeight="1" s="33">
      <c r="A6" s="22" t="inlineStr">
        <is>
          <t>V16.2</t>
        </is>
      </c>
      <c r="B6" s="22" t="inlineStr">
        <is>
          <t>General Logging</t>
        </is>
      </c>
      <c r="C6" s="23" t="inlineStr">
        <is>
          <t>V16.2.2</t>
        </is>
      </c>
      <c r="D6" s="24"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20" t="n">
        <v>2</v>
      </c>
      <c r="F6" s="21" t="inlineStr">
        <is>
          <t>Not Started</t>
        </is>
      </c>
      <c r="G6" s="24" t="inlineStr">
        <is>
          <t>[RF01] RF01: Todos os timestamps em UTC (DateTime.UtcNow). Sincronização do relógio do servidor via NTP. Consistência entre todos os componentes de logging.
[RF02] Os timestamps dos logs têm de estar em UTC
[RF03] RF04: Todos os componentes sincronizados via NTP; timestamps em UTC com offset explícito no formato ISO 8601.
[RF04] RF04 (Security Pillar 6) exige timestamps em UTC e correlação de eventos entre serviços.</t>
        </is>
      </c>
      <c r="H6" s="24" t="n"/>
    </row>
    <row r="7" ht="30" customHeight="1" s="33">
      <c r="A7" s="17" t="inlineStr">
        <is>
          <t>V16.2</t>
        </is>
      </c>
      <c r="B7" s="17" t="inlineStr">
        <is>
          <t>General Logging</t>
        </is>
      </c>
      <c r="C7" s="18" t="inlineStr">
        <is>
          <t>V16.2.3</t>
        </is>
      </c>
      <c r="D7" s="19" t="inlineStr">
        <is>
          <t>Verify that the application only stores or broadcasts logs to the files and services that are documented in the log inventory.</t>
        </is>
      </c>
      <c r="E7" s="20" t="n">
        <v>2</v>
      </c>
      <c r="F7" s="21" t="inlineStr">
        <is>
          <t>Not Started</t>
        </is>
      </c>
      <c r="G7" s="19" t="inlineStr">
        <is>
          <t>[RF02] Os logs só devem ser escritos nos destinos documentados no inventário
[RF04] RF04 define persistência exclusiva em PostgreSQL e integração com SIEM. Logs não devem ser escritos para destinos não documentados.</t>
        </is>
      </c>
      <c r="H7" s="19" t="n"/>
    </row>
    <row r="8" ht="30" customHeight="1" s="33">
      <c r="A8" s="22" t="inlineStr">
        <is>
          <t>V16.2</t>
        </is>
      </c>
      <c r="B8" s="22" t="inlineStr">
        <is>
          <t>General Logging</t>
        </is>
      </c>
      <c r="C8" s="23" t="inlineStr">
        <is>
          <t>V16.2.4</t>
        </is>
      </c>
      <c r="D8" s="24" t="inlineStr">
        <is>
          <t>Verify that logs can be read and correlated by the log processor that is in use, preferably by using a common logging format.</t>
        </is>
      </c>
      <c r="E8" s="20" t="n">
        <v>2</v>
      </c>
      <c r="F8" s="21" t="inlineStr">
        <is>
          <t>Not Started</t>
        </is>
      </c>
      <c r="G8" s="24" t="inlineStr">
        <is>
          <t>[RF02] O formato dos logs tem de ser legível por máquina</t>
        </is>
      </c>
      <c r="H8" s="24" t="n"/>
    </row>
    <row r="9" ht="30" customHeight="1" s="33">
      <c r="A9" s="17" t="inlineStr">
        <is>
          <t>V16.2</t>
        </is>
      </c>
      <c r="B9" s="17" t="inlineStr">
        <is>
          <t>General Logging</t>
        </is>
      </c>
      <c r="C9" s="18" t="inlineStr">
        <is>
          <t>V16.2.5</t>
        </is>
      </c>
      <c r="D9" s="19"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20" t="n">
        <v>2</v>
      </c>
      <c r="F9" s="21" t="inlineStr">
        <is>
          <t>Not Started</t>
        </is>
      </c>
      <c r="G9" s="19" t="inlineStr">
        <is>
          <t>[RF01] RF01: Passwords NUNCA registadas em logs, mesmo em falhas. Tokens JWT nunca registados integralmente — apenas userId e claims não-sensíveis. Dados sensíveis filtrados antes da persistência.
[RF02] Nomes de ficheiro e Process IDs nos logs podem ser sensíveis, política de logging tem de definir se aparecem em plaintext ou cifrados
[RF03] RF04: Nenhum dado sensível (conteúdo de documentos, dados pessoais) é incluído nos logs; apenas metadados de acesso são registados.
[RF04] RF04 (Regra de Confidencialidade): dados sensíveis não podem ser armazenados em texto plano. Credenciais e tokens devem ser excluídos ou mascarados nos logs.</t>
        </is>
      </c>
      <c r="H9" s="19" t="n"/>
    </row>
    <row r="10" ht="18" customHeight="1" s="33">
      <c r="A10" s="16" t="inlineStr">
        <is>
          <t>V16.3</t>
        </is>
      </c>
      <c r="B10" s="16" t="inlineStr">
        <is>
          <t>Security Events</t>
        </is>
      </c>
      <c r="C10" s="16" t="n"/>
      <c r="D10" s="16" t="n"/>
      <c r="E10" s="16" t="n"/>
      <c r="F10" s="16" t="n"/>
      <c r="G10" s="16" t="n"/>
      <c r="H10" s="16" t="n"/>
    </row>
    <row r="11" ht="30" customHeight="1" s="33">
      <c r="A11" s="17" t="inlineStr">
        <is>
          <t>V16.3</t>
        </is>
      </c>
      <c r="B11" s="17" t="inlineStr">
        <is>
          <t>Security Events</t>
        </is>
      </c>
      <c r="C11" s="18" t="inlineStr">
        <is>
          <t>V16.3.1</t>
        </is>
      </c>
      <c r="D11" s="19" t="inlineStr">
        <is>
          <t>Verify that all authentication operations are logged, including successful and unsuccessful attempts. Additional metadata, such as the type of authentication or factors used, should also be collected.</t>
        </is>
      </c>
      <c r="E11" s="20" t="n">
        <v>2</v>
      </c>
      <c r="F11" s="21" t="inlineStr">
        <is>
          <t>Not Started</t>
        </is>
      </c>
      <c r="G11" s="19" t="inlineStr">
        <is>
          <t>[RF01] RF01: Registo obrigatório de TODAS as operações de autenticação (sucesso e falha) com metadata completa: IP, user agent, UserId (quando disponível), timestamp. Implementa pilar "6. Logging" do FURPS+ e mitiga T1.3 diretamente.
[RF03] RF04: Todas as operações de autenticação são registadas com resultado (sucesso/falha), tipo de autenticação e papel.
[RF04] RF04 exige registo de todos os eventos de autenticação (sucesso/falha) com IP, UserID e timestamp. Cobre ameaça T4.1 (Spoofing/Repudiation).</t>
        </is>
      </c>
      <c r="H11" s="19" t="n"/>
    </row>
    <row r="12" ht="30" customHeight="1" s="33">
      <c r="A12" s="22" t="inlineStr">
        <is>
          <t>V16.3</t>
        </is>
      </c>
      <c r="B12" s="22" t="inlineStr">
        <is>
          <t>Security Events</t>
        </is>
      </c>
      <c r="C12" s="23" t="inlineStr">
        <is>
          <t>V16.3.2</t>
        </is>
      </c>
      <c r="D12" s="24" t="inlineStr">
        <is>
          <t>Verify that failed authorization attempts are logged. For L3, this must include logging all authorization decisions, including logging when sensitive data is accessed (without logging the sensitive data itself).</t>
        </is>
      </c>
      <c r="E12" s="20" t="n">
        <v>2</v>
      </c>
      <c r="F12" s="21" t="inlineStr">
        <is>
          <t>Not Started</t>
        </is>
      </c>
      <c r="G12" s="24" t="inlineStr">
        <is>
          <t>[RF01] RF01: Tentativas de autorização falhadas (respostas 401/403) registadas com endpoint acedido, role do utilizador e recurso solicitado. Permite deteção de tentativas de escalada de privilégios (T1.4).
[RF02] Tentativas de autorização falhadas têm de ser registadas
[RF03] RF04: Tentativas de acesso não autorizado a processos/ficheiros são registadas; inclui log de acesso a dados sensíveis sem expor o conteúdo.
[RF04] RF04 regista tentativas de acesso não autorizado e violações de RBAC. Alinha com ameaça T4.3 e T4.4 (Spoofing – Alto, DREAD 34).</t>
        </is>
      </c>
      <c r="H12" s="24" t="n"/>
    </row>
    <row r="13" ht="30" customHeight="1" s="33">
      <c r="A13" s="17" t="inlineStr">
        <is>
          <t>V16.3</t>
        </is>
      </c>
      <c r="B13" s="17" t="inlineStr">
        <is>
          <t>Security Events</t>
        </is>
      </c>
      <c r="C13" s="18" t="inlineStr">
        <is>
          <t>V16.3.3</t>
        </is>
      </c>
      <c r="D13" s="19" t="inlineStr">
        <is>
          <t>Verify that the application logs the security events that are defined in the documentation and also logs attempts to bypass the security controls, such as input validation, business logic, and anti-automation.</t>
        </is>
      </c>
      <c r="E13" s="20" t="n">
        <v>2</v>
      </c>
      <c r="F13" s="21" t="inlineStr">
        <is>
          <t>Not Started</t>
        </is>
      </c>
      <c r="G13" s="19" t="inlineStr">
        <is>
          <t>[RF01] RF01: Eventos de segurança registados: tentativas de uso de algoritmos JWT não permitidos (ex: "none"), assinaturas JWT inválidas, claims obrigatórias em falta, violações de rate limit, account lockouts.
[RF02] Tentativas de upload com tipos de ficheiro inválidos ou acesso a processos não autorizados têm de gerar eventos de segurança no log
[RF04] RF04 (Regra de Rastreabilidade Total): todas as ações de RF01, RF02 e RF03 geram logs, incluindo tentativas de bypass de controlos de segurança.</t>
        </is>
      </c>
      <c r="H13" s="19" t="n"/>
    </row>
    <row r="14" ht="30" customHeight="1" s="33">
      <c r="A14" s="22" t="inlineStr">
        <is>
          <t>V16.3</t>
        </is>
      </c>
      <c r="B14" s="22" t="inlineStr">
        <is>
          <t>Security Events</t>
        </is>
      </c>
      <c r="C14" s="23" t="inlineStr">
        <is>
          <t>V16.3.4</t>
        </is>
      </c>
      <c r="D14" s="24" t="inlineStr">
        <is>
          <t>Verify that the application logs unexpected errors and security control failures such as backend TLS failures.</t>
        </is>
      </c>
      <c r="E14" s="20" t="n">
        <v>2</v>
      </c>
      <c r="F14" s="21" t="inlineStr">
        <is>
          <t>Not Started</t>
        </is>
      </c>
      <c r="G14" s="24" t="inlineStr">
        <is>
          <t>[RF02] Erros do SQL Server ou falhas de desencriptação têm de ser registados com detalhe
[RF04] RF04 (Suportabilidade) inclui registo de falhas do sistema operativo (ex: erros na criação de diretórios/ficheiros do RF03).</t>
        </is>
      </c>
      <c r="H14" s="24" t="n"/>
    </row>
    <row r="15" ht="18" customHeight="1" s="33">
      <c r="A15" s="16" t="inlineStr">
        <is>
          <t>V16.4</t>
        </is>
      </c>
      <c r="B15" s="16" t="inlineStr">
        <is>
          <t>Log Protection</t>
        </is>
      </c>
      <c r="C15" s="16" t="n"/>
      <c r="D15" s="16" t="n"/>
      <c r="E15" s="16" t="n"/>
      <c r="F15" s="16" t="n"/>
      <c r="G15" s="16" t="n"/>
      <c r="H15" s="16" t="n"/>
    </row>
    <row r="16" ht="30" customHeight="1" s="33">
      <c r="A16" s="17" t="inlineStr">
        <is>
          <t>V16.4</t>
        </is>
      </c>
      <c r="B16" s="17" t="inlineStr">
        <is>
          <t>Log Protection</t>
        </is>
      </c>
      <c r="C16" s="18" t="inlineStr">
        <is>
          <t>V16.4.1</t>
        </is>
      </c>
      <c r="D16" s="19" t="inlineStr">
        <is>
          <t>Verify that all logging components appropriately encode data to prevent log injection.</t>
        </is>
      </c>
      <c r="E16" s="20" t="n">
        <v>2</v>
      </c>
      <c r="F16" s="21" t="inlineStr">
        <is>
          <t>Not Started</t>
        </is>
      </c>
      <c r="G16" s="19" t="inlineStr">
        <is>
          <t>[RF01] RF01: Inputs registados em logs são encoded/sanitizados para prevenir log injection (remoção de CRLF \r\n e caracteres de controlo). Uso de Serilog com output templates que escapam corretamente entradas do utilizador.
[RF02] Nomes de ficheiro escritos nos logs são controlados pelo utilizador e podem conter payloads de log injection, deve-se usar logging estruturado: _logger.LogWarning('Upload rejeitado: {FileName}', filename).
[RF03] RF04: Nomes de ficheiros e paths são sanitizados antes de serem incluídos em logs para prevenir log injection.
[RF04] Ameaça T4.2 (Log Injection – Alto, DREAD 32): inputs sanitizados e logs com encoding antes do registo para prevenir injeção.</t>
        </is>
      </c>
      <c r="H16" s="19" t="n"/>
    </row>
    <row r="17" ht="30" customHeight="1" s="33">
      <c r="A17" s="22" t="inlineStr">
        <is>
          <t>V16.4</t>
        </is>
      </c>
      <c r="B17" s="22" t="inlineStr">
        <is>
          <t>Log Protection</t>
        </is>
      </c>
      <c r="C17" s="23" t="inlineStr">
        <is>
          <t>V16.4.2</t>
        </is>
      </c>
      <c r="D17" s="24" t="inlineStr">
        <is>
          <t>Verify that logs are protected from unauthorized access and cannot be modified.</t>
        </is>
      </c>
      <c r="E17" s="20" t="n">
        <v>2</v>
      </c>
      <c r="F17" s="21" t="inlineStr">
        <is>
          <t>Not Started</t>
        </is>
      </c>
      <c r="G17" s="24" t="inlineStr">
        <is>
          <t>[RF01] RF01: Tabela de logs em PostgreSQL acedida por utilizador DB separado (role audit_writer) com apenas permissão INSERT. Nenhum utilizador aplicacional tem UPDATE/DELETE em logs. Mitiga T1.3 (manipulação de logs).
[RF02] Os logs têm de ser append-only ou imutáveis para impedir que um utilizador interno apague os logs operações não autorizadas
[RF03] RF04: Logs armazenados em base de dados separada com acesso restrito a administradores; imutáveis via append-only.
[RF04] Ameaça T4.3 (Manipulação de Logs – Alto, DREAD 32): RF04 exige imutabilidade (append-only, sem UPDATE/DELETE) e hashing dos registos.</t>
        </is>
      </c>
      <c r="H17" s="24" t="n"/>
    </row>
    <row r="18" ht="30" customHeight="1" s="33">
      <c r="A18" s="17" t="inlineStr">
        <is>
          <t>V16.4</t>
        </is>
      </c>
      <c r="B18" s="17" t="inlineStr">
        <is>
          <t>Log Protection</t>
        </is>
      </c>
      <c r="C18" s="18" t="inlineStr">
        <is>
          <t>V16.4.3</t>
        </is>
      </c>
      <c r="D18" s="19" t="inlineStr">
        <is>
          <t>Verify that logs are securely transmitted to a logically separate system for analysis, detection, alerting, and escalation. The aim is to ensure that if the application is breached, the logs are not compromised.</t>
        </is>
      </c>
      <c r="E18" s="20" t="n">
        <v>2</v>
      </c>
      <c r="F18" s="21" t="inlineStr">
        <is>
          <t>Not Started</t>
        </is>
      </c>
      <c r="G18" s="19" t="inlineStr">
        <is>
          <t>[RF02] Os logs têm de ser enviados para um sistema separado do servidor
[RF03] RF04: Transmissão de logs para SIEM externo em implementação; atualmente armazenados localmente com replicação agendada.
[RF04] RF04 prevê integração com SIEM para análise e alertas. Transmissão segura dos logs para sistema separado a definir na implementação.</t>
        </is>
      </c>
      <c r="H18" s="19" t="n"/>
    </row>
    <row r="19" ht="18" customHeight="1" s="33">
      <c r="A19" s="16" t="inlineStr">
        <is>
          <t>V16.5</t>
        </is>
      </c>
      <c r="B19" s="16" t="inlineStr">
        <is>
          <t>Error Handling</t>
        </is>
      </c>
      <c r="C19" s="16" t="n"/>
      <c r="D19" s="16" t="n"/>
      <c r="E19" s="16" t="n"/>
      <c r="F19" s="16" t="n"/>
      <c r="G19" s="16" t="n"/>
      <c r="H19" s="16" t="n"/>
    </row>
    <row r="20" ht="30" customHeight="1" s="33">
      <c r="A20" s="17" t="inlineStr">
        <is>
          <t>V16.5</t>
        </is>
      </c>
      <c r="B20" s="17" t="inlineStr">
        <is>
          <t>Error Handling</t>
        </is>
      </c>
      <c r="C20" s="18" t="inlineStr">
        <is>
          <t>V16.5.1</t>
        </is>
      </c>
      <c r="D20" s="19" t="inlineStr">
        <is>
          <t>Verify that a generic message is returned to the consumer when an unexpected or security-sensitive error occurs, ensuring no exposure of sensitive internal system data such as stack traces, queries, secret keys, and tokens.</t>
        </is>
      </c>
      <c r="E20" s="20" t="n">
        <v>2</v>
      </c>
      <c r="F20" s="21" t="inlineStr">
        <is>
          <t>Not Started</t>
        </is>
      </c>
      <c r="G20" s="19" t="inlineStr">
        <is>
          <t>[RF01] RF01: Login falhado retorna mensagem genérica "Credenciais inválidas" (não indica se foi email inexistente ou password errada). Exceções internas não são expostas ao cliente. Alinhado com V6.3.8 e regra de negócio do FURPS+.
[RF02] Erros nas operações de upload/download/edição têm de devolver uma mensagem genérica ao cliente
[RF04] RF04 (Confidencialidade): erros internos não devem expor stack traces, queries ou tokens. Respostas genéricas em caso de falha.</t>
        </is>
      </c>
      <c r="H20" s="19" t="n"/>
    </row>
    <row r="21" ht="30" customHeight="1" s="33">
      <c r="A21" s="22" t="inlineStr">
        <is>
          <t>V16.5</t>
        </is>
      </c>
      <c r="B21" s="22" t="inlineStr">
        <is>
          <t>Error Handling</t>
        </is>
      </c>
      <c r="C21" s="23" t="inlineStr">
        <is>
          <t>V16.5.2</t>
        </is>
      </c>
      <c r="D21" s="24" t="inlineStr">
        <is>
          <t>Verify that the application continues to operate securely when external resource access fails, for example, by using patterns such as circuit breakers or graceful degradation.</t>
        </is>
      </c>
      <c r="E21" s="20" t="n">
        <v>2</v>
      </c>
      <c r="F21" s="21" t="inlineStr">
        <is>
          <t>Not Started</t>
        </is>
      </c>
      <c r="G21" s="24" t="inlineStr">
        <is>
          <t>[RF02] Se a BD estiver indisponível, o API tem de devolver um HTTP Responde 503
[RF04] RF04 (Suportabilidade): o sistema de logging deve continuar operacional mesmo quando recursos externos (ex: SIEM) falham, usando circuit breakers ou degradação gradual.</t>
        </is>
      </c>
      <c r="H21" s="24" t="n"/>
    </row>
    <row r="22" ht="30" customHeight="1" s="33">
      <c r="A22" s="17" t="inlineStr">
        <is>
          <t>V16.5</t>
        </is>
      </c>
      <c r="B22" s="17" t="inlineStr">
        <is>
          <t>Error Handling</t>
        </is>
      </c>
      <c r="C22" s="18" t="inlineStr">
        <is>
          <t>V16.5.3</t>
        </is>
      </c>
      <c r="D22" s="19" t="inlineStr">
        <is>
          <t>Verify that the application fails gracefully and securely, including when an exception occurs, preventing fail-open conditions such as processing a transaction despite errors resulting from validation logic.</t>
        </is>
      </c>
      <c r="E22" s="20" t="n">
        <v>2</v>
      </c>
      <c r="F22" s="21" t="inlineStr">
        <is>
          <t>Not Started</t>
        </is>
      </c>
      <c r="G22" s="19" t="inlineStr">
        <is>
          <t>[RF02] Falhas durante um upload têm de fazer rollback da transação SQL Server
[RF04] RF04 exige que falhas no sistema de logging não interrompam o fluxo principal da API. O log é registado de forma assíncrona ou com fallback seguro.</t>
        </is>
      </c>
      <c r="H22" s="19" t="n"/>
    </row>
    <row r="23" ht="30" customHeight="1" s="33">
      <c r="A23" s="22" t="inlineStr">
        <is>
          <t>V16.5</t>
        </is>
      </c>
      <c r="B23" s="22" t="inlineStr">
        <is>
          <t>Error Handling</t>
        </is>
      </c>
      <c r="C23" s="23" t="inlineStr">
        <is>
          <t>V16.5.4</t>
        </is>
      </c>
      <c r="D23" s="24"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26" t="n">
        <v>3</v>
      </c>
      <c r="F23" s="21" t="inlineStr">
        <is>
          <t>Not Started</t>
        </is>
      </c>
      <c r="G23" s="24" t="n"/>
      <c r="H23" s="24" t="n"/>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sheetPr>
    <outlinePr summaryBelow="1" summaryRight="1"/>
    <pageSetUpPr/>
  </sheetPr>
  <dimension ref="A1:H16"/>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style="33" min="1" max="1"/>
    <col width="28" customWidth="1" style="33" min="2" max="2"/>
    <col width="12" customWidth="1" style="33" min="3" max="3"/>
    <col width="60" customWidth="1" style="33" min="4" max="4"/>
    <col width="8" customWidth="1" style="33" min="5" max="5"/>
    <col width="16" customWidth="1" style="33" min="6" max="6"/>
    <col width="40" customWidth="1" style="33" min="7" max="7"/>
    <col width="35" customWidth="1" style="33" min="8" max="8"/>
  </cols>
  <sheetData>
    <row r="1" ht="27.75" customHeight="1" s="33">
      <c r="A1" s="15" t="inlineStr">
        <is>
          <t>Section ID</t>
        </is>
      </c>
      <c r="B1" s="15" t="inlineStr">
        <is>
          <t>Section Name</t>
        </is>
      </c>
      <c r="C1" s="15" t="inlineStr">
        <is>
          <t>Req ID</t>
        </is>
      </c>
      <c r="D1" s="15" t="inlineStr">
        <is>
          <t>Description</t>
        </is>
      </c>
      <c r="E1" s="15" t="inlineStr">
        <is>
          <t>Level</t>
        </is>
      </c>
      <c r="F1" s="15" t="inlineStr">
        <is>
          <t>Status</t>
        </is>
      </c>
      <c r="G1" s="15" t="inlineStr">
        <is>
          <t>Observations</t>
        </is>
      </c>
      <c r="H1" s="15" t="inlineStr">
        <is>
          <t>Reference / Link</t>
        </is>
      </c>
    </row>
    <row r="2" ht="18" customHeight="1" s="33">
      <c r="A2" s="16" t="inlineStr">
        <is>
          <t>V17.1</t>
        </is>
      </c>
      <c r="B2" s="16" t="inlineStr">
        <is>
          <t>TURN Server</t>
        </is>
      </c>
      <c r="C2" s="16" t="n"/>
      <c r="D2" s="16" t="n"/>
      <c r="E2" s="16" t="n"/>
      <c r="F2" s="16" t="n"/>
      <c r="G2" s="16" t="n"/>
      <c r="H2" s="16" t="n"/>
    </row>
    <row r="3" ht="30" customHeight="1" s="33">
      <c r="A3" s="17" t="inlineStr">
        <is>
          <t>V17.1</t>
        </is>
      </c>
      <c r="B3" s="17" t="inlineStr">
        <is>
          <t>TURN Server</t>
        </is>
      </c>
      <c r="C3" s="18" t="inlineStr">
        <is>
          <t>V17.1.1</t>
        </is>
      </c>
      <c r="D3" s="19" t="inlineStr">
        <is>
          <t>Verify that the Traversal Using Relays around NAT (TURN) service only allows access to IP addresses that are not reserved for special purposes (e.g., internal networks, broadcast, loopback). Note that this applies to both IPv4 and IPv6 addresses.</t>
        </is>
      </c>
      <c r="E3" s="20" t="n">
        <v>2</v>
      </c>
      <c r="F3" s="21" t="inlineStr">
        <is>
          <t>Not Started</t>
        </is>
      </c>
      <c r="G3" s="19" t="n"/>
      <c r="H3" s="19" t="n"/>
    </row>
    <row r="4" ht="30" customHeight="1" s="33">
      <c r="A4" s="22" t="inlineStr">
        <is>
          <t>V17.1</t>
        </is>
      </c>
      <c r="B4" s="22" t="inlineStr">
        <is>
          <t>TURN Server</t>
        </is>
      </c>
      <c r="C4" s="23" t="inlineStr">
        <is>
          <t>V17.1.2</t>
        </is>
      </c>
      <c r="D4" s="24" t="inlineStr">
        <is>
          <t>Verify that the Traversal Using Relays around NAT (TURN) service is not susceptible to resource exhaustion when legitimate users attempt to open a large number of ports on the TURN server.</t>
        </is>
      </c>
      <c r="E4" s="26" t="n">
        <v>3</v>
      </c>
      <c r="F4" s="21" t="inlineStr">
        <is>
          <t>Not Started</t>
        </is>
      </c>
      <c r="G4" s="24" t="n"/>
      <c r="H4" s="24" t="n"/>
    </row>
    <row r="5" ht="18" customHeight="1" s="33">
      <c r="A5" s="16" t="inlineStr">
        <is>
          <t>V17.2</t>
        </is>
      </c>
      <c r="B5" s="16" t="inlineStr">
        <is>
          <t>Media</t>
        </is>
      </c>
      <c r="C5" s="16" t="n"/>
      <c r="D5" s="16" t="n"/>
      <c r="E5" s="16" t="n"/>
      <c r="F5" s="16" t="n"/>
      <c r="G5" s="16" t="n"/>
      <c r="H5" s="16" t="n"/>
    </row>
    <row r="6" ht="30" customHeight="1" s="33">
      <c r="A6" s="17" t="inlineStr">
        <is>
          <t>V17.2</t>
        </is>
      </c>
      <c r="B6" s="17" t="inlineStr">
        <is>
          <t>Media</t>
        </is>
      </c>
      <c r="C6" s="18" t="inlineStr">
        <is>
          <t>V17.2.1</t>
        </is>
      </c>
      <c r="D6" s="19" t="inlineStr">
        <is>
          <t>Verify that the key for the Datagram Transport Layer Security (DTLS) certificate is managed and protected based on the documented policy for management of cryptographic keys.</t>
        </is>
      </c>
      <c r="E6" s="20" t="n">
        <v>2</v>
      </c>
      <c r="F6" s="21" t="inlineStr">
        <is>
          <t>Not Started</t>
        </is>
      </c>
      <c r="G6" s="19" t="n"/>
      <c r="H6" s="19" t="n"/>
    </row>
    <row r="7" ht="30" customHeight="1" s="33">
      <c r="A7" s="22" t="inlineStr">
        <is>
          <t>V17.2</t>
        </is>
      </c>
      <c r="B7" s="22" t="inlineStr">
        <is>
          <t>Media</t>
        </is>
      </c>
      <c r="C7" s="23" t="inlineStr">
        <is>
          <t>V17.2.2</t>
        </is>
      </c>
      <c r="D7" s="24"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20" t="n">
        <v>2</v>
      </c>
      <c r="F7" s="21" t="inlineStr">
        <is>
          <t>Not Started</t>
        </is>
      </c>
      <c r="G7" s="24" t="n"/>
      <c r="H7" s="24" t="n"/>
    </row>
    <row r="8" ht="30" customHeight="1" s="33">
      <c r="A8" s="17" t="inlineStr">
        <is>
          <t>V17.2</t>
        </is>
      </c>
      <c r="B8" s="17" t="inlineStr">
        <is>
          <t>Media</t>
        </is>
      </c>
      <c r="C8" s="18" t="inlineStr">
        <is>
          <t>V17.2.3</t>
        </is>
      </c>
      <c r="D8" s="19"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20" t="n">
        <v>2</v>
      </c>
      <c r="F8" s="21" t="inlineStr">
        <is>
          <t>Not Started</t>
        </is>
      </c>
      <c r="G8" s="19" t="n"/>
      <c r="H8" s="19" t="n"/>
    </row>
    <row r="9" ht="30" customHeight="1" s="33">
      <c r="A9" s="22" t="inlineStr">
        <is>
          <t>V17.2</t>
        </is>
      </c>
      <c r="B9" s="22" t="inlineStr">
        <is>
          <t>Media</t>
        </is>
      </c>
      <c r="C9" s="23" t="inlineStr">
        <is>
          <t>V17.2.4</t>
        </is>
      </c>
      <c r="D9" s="24" t="inlineStr">
        <is>
          <t>Verify that the media server is able to continue processing incoming media traffic when encountering malformed Secure Real-time Transport Protocol (SRTP) packets.</t>
        </is>
      </c>
      <c r="E9" s="20" t="n">
        <v>2</v>
      </c>
      <c r="F9" s="21" t="inlineStr">
        <is>
          <t>Not Started</t>
        </is>
      </c>
      <c r="G9" s="24" t="n"/>
      <c r="H9" s="24" t="n"/>
    </row>
    <row r="10" ht="30" customHeight="1" s="33">
      <c r="A10" s="17" t="inlineStr">
        <is>
          <t>V17.2</t>
        </is>
      </c>
      <c r="B10" s="17" t="inlineStr">
        <is>
          <t>Media</t>
        </is>
      </c>
      <c r="C10" s="18" t="inlineStr">
        <is>
          <t>V17.2.5</t>
        </is>
      </c>
      <c r="D10" s="19" t="inlineStr">
        <is>
          <t>Verify that the media server is able to continue processing incoming media traffic during a flood of Secure Real-time Transport Protocol (SRTP) packets from legitimate users.</t>
        </is>
      </c>
      <c r="E10" s="26" t="n">
        <v>3</v>
      </c>
      <c r="F10" s="21" t="inlineStr">
        <is>
          <t>Not Started</t>
        </is>
      </c>
      <c r="G10" s="19" t="n"/>
      <c r="H10" s="19" t="n"/>
    </row>
    <row r="11" ht="30" customHeight="1" s="33">
      <c r="A11" s="22" t="inlineStr">
        <is>
          <t>V17.2</t>
        </is>
      </c>
      <c r="B11" s="22" t="inlineStr">
        <is>
          <t>Media</t>
        </is>
      </c>
      <c r="C11" s="23" t="inlineStr">
        <is>
          <t>V17.2.6</t>
        </is>
      </c>
      <c r="D11" s="24" t="inlineStr">
        <is>
          <t>Verify that the media server is not susceptible to the "ClientHello" Race Condition vulnerability in Datagram Transport Layer Security (DTLS) by checking if the media server is publicly known to be vulnerable or by performing the race condition test.</t>
        </is>
      </c>
      <c r="E11" s="26" t="n">
        <v>3</v>
      </c>
      <c r="F11" s="21" t="inlineStr">
        <is>
          <t>Not Started</t>
        </is>
      </c>
      <c r="G11" s="24" t="n"/>
      <c r="H11" s="24" t="n"/>
    </row>
    <row r="12" ht="30" customHeight="1" s="33">
      <c r="A12" s="17" t="inlineStr">
        <is>
          <t>V17.2</t>
        </is>
      </c>
      <c r="B12" s="17" t="inlineStr">
        <is>
          <t>Media</t>
        </is>
      </c>
      <c r="C12" s="18" t="inlineStr">
        <is>
          <t>V17.2.7</t>
        </is>
      </c>
      <c r="D12" s="19" t="inlineStr">
        <is>
          <t>Verify that any audio or video recording mechanisms associated with the media server are able to continue processing incoming media traffic during a flood of Secure Real-time Transport Protocol (SRTP) packets from legitimate users.</t>
        </is>
      </c>
      <c r="E12" s="26" t="n">
        <v>3</v>
      </c>
      <c r="F12" s="21" t="inlineStr">
        <is>
          <t>Not Started</t>
        </is>
      </c>
      <c r="G12" s="19" t="n"/>
      <c r="H12" s="19" t="n"/>
    </row>
    <row r="13" ht="30" customHeight="1" s="33">
      <c r="A13" s="22" t="inlineStr">
        <is>
          <t>V17.2</t>
        </is>
      </c>
      <c r="B13" s="22" t="inlineStr">
        <is>
          <t>Media</t>
        </is>
      </c>
      <c r="C13" s="23" t="inlineStr">
        <is>
          <t>V17.2.8</t>
        </is>
      </c>
      <c r="D13" s="24" t="inlineStr">
        <is>
          <t>Verify that the Datagram Transport Layer Security (DTLS) certificate is checked against the Session Description Protocol (SDP) fingerprint attribute, terminating the media stream if the check fails, to ensure the authenticity of the media stream.</t>
        </is>
      </c>
      <c r="E13" s="26" t="n">
        <v>3</v>
      </c>
      <c r="F13" s="21" t="inlineStr">
        <is>
          <t>Not Started</t>
        </is>
      </c>
      <c r="G13" s="24" t="n"/>
      <c r="H13" s="24" t="n"/>
    </row>
    <row r="14" ht="18" customHeight="1" s="33">
      <c r="A14" s="16" t="inlineStr">
        <is>
          <t>V17.3</t>
        </is>
      </c>
      <c r="B14" s="16" t="inlineStr">
        <is>
          <t>Signaling</t>
        </is>
      </c>
      <c r="C14" s="16" t="n"/>
      <c r="D14" s="16" t="n"/>
      <c r="E14" s="16" t="n"/>
      <c r="F14" s="16" t="n"/>
      <c r="G14" s="16" t="n"/>
      <c r="H14" s="16" t="n"/>
    </row>
    <row r="15" ht="30" customHeight="1" s="33">
      <c r="A15" s="17" t="inlineStr">
        <is>
          <t>V17.3</t>
        </is>
      </c>
      <c r="B15" s="17" t="inlineStr">
        <is>
          <t>Signaling</t>
        </is>
      </c>
      <c r="C15" s="18" t="inlineStr">
        <is>
          <t>V17.3.1</t>
        </is>
      </c>
      <c r="D15" s="19" t="inlineStr">
        <is>
          <t>Verify that the signaling server is able to continue processing legitimate incoming signaling messages during a flood attack. This should be achieved by implementing rate limiting at the signaling level.</t>
        </is>
      </c>
      <c r="E15" s="20" t="n">
        <v>2</v>
      </c>
      <c r="F15" s="21" t="inlineStr">
        <is>
          <t>Not Started</t>
        </is>
      </c>
      <c r="G15" s="19" t="n"/>
      <c r="H15" s="19" t="n"/>
    </row>
    <row r="16" ht="30" customHeight="1" s="33">
      <c r="A16" s="22" t="inlineStr">
        <is>
          <t>V17.3</t>
        </is>
      </c>
      <c r="B16" s="22" t="inlineStr">
        <is>
          <t>Signaling</t>
        </is>
      </c>
      <c r="C16" s="23" t="inlineStr">
        <is>
          <t>V17.3.2</t>
        </is>
      </c>
      <c r="D16" s="24"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20" t="n">
        <v>2</v>
      </c>
      <c r="F16" s="21" t="inlineStr">
        <is>
          <t>Not Started</t>
        </is>
      </c>
      <c r="G16" s="24" t="n"/>
      <c r="H16" s="24" t="n"/>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sheetPr>
    <outlinePr summaryBelow="1" summaryRight="1"/>
    <pageSetUpPr/>
  </sheetPr>
  <dimension ref="A1:F6"/>
  <sheetViews>
    <sheetView zoomScaleNormal="100" workbookViewId="0">
      <selection activeCell="A1" sqref="A1"/>
    </sheetView>
  </sheetViews>
  <sheetFormatPr baseColWidth="10" defaultColWidth="8.6640625" defaultRowHeight="15"/>
  <cols>
    <col width="40" customWidth="1" style="33" min="1" max="1"/>
    <col width="15" customWidth="1" style="33" min="2" max="3"/>
    <col width="12" customWidth="1" style="33" min="4" max="4"/>
    <col width="30" customWidth="1" style="33" min="5" max="5"/>
    <col width="50" customWidth="1" style="33" min="6" max="6"/>
  </cols>
  <sheetData>
    <row r="1" ht="17.25" customHeight="1" s="33">
      <c r="A1" s="35" t="inlineStr">
        <is>
          <t>OWASP ZAP to ASVS Requirements Traceability Matrix</t>
        </is>
      </c>
    </row>
    <row r="3" ht="15" customHeight="1" s="33">
      <c r="A3" s="29" t="inlineStr">
        <is>
          <t>ZAP Finding</t>
        </is>
      </c>
      <c r="B3" s="29" t="inlineStr">
        <is>
          <t>Risk Level</t>
        </is>
      </c>
      <c r="C3" s="29" t="inlineStr">
        <is>
          <t>Report Type</t>
        </is>
      </c>
      <c r="D3" s="29" t="inlineStr">
        <is>
          <t>Instances</t>
        </is>
      </c>
      <c r="E3" s="29" t="inlineStr">
        <is>
          <t>Related ASVS Requirements</t>
        </is>
      </c>
      <c r="F3" s="29" t="inlineStr">
        <is>
          <t>Testing Evidence</t>
        </is>
      </c>
    </row>
    <row r="4" ht="27.75" customHeight="1" s="33">
      <c r="A4" s="30" t="inlineStr">
        <is>
          <t>Storable and Cacheable Content</t>
        </is>
      </c>
      <c r="B4" s="30" t="inlineStr">
        <is>
          <t>Informational</t>
        </is>
      </c>
      <c r="C4" s="30" t="inlineStr">
        <is>
          <t>Baseline</t>
        </is>
      </c>
      <c r="D4" s="30" t="inlineStr">
        <is>
          <t>1</t>
        </is>
      </c>
      <c r="E4" s="30" t="inlineStr">
        <is>
          <t>V3.4.1, V7.1.1</t>
        </is>
      </c>
      <c r="F4" s="31" t="inlineStr">
        <is>
          <t>OWASP ZAP detected cacheable content. Review caching headers for sensitive data.</t>
        </is>
      </c>
    </row>
    <row r="5" ht="27.75" customHeight="1" s="33">
      <c r="A5" s="30" t="inlineStr">
        <is>
          <t>HTTP Only Site</t>
        </is>
      </c>
      <c r="B5" s="30" t="inlineStr">
        <is>
          <t>Medium</t>
        </is>
      </c>
      <c r="C5" s="30" t="inlineStr">
        <is>
          <t>Active</t>
        </is>
      </c>
      <c r="D5" s="30" t="inlineStr">
        <is>
          <t>1</t>
        </is>
      </c>
      <c r="E5" s="30" t="inlineStr">
        <is>
          <t>V12.3.1, V12.3.2</t>
        </is>
      </c>
      <c r="F5" s="31" t="inlineStr">
        <is>
          <t>OWASP ZAP Active Scan detected application accessible over HTTP without HTTPS enforcement. Medium risk.</t>
        </is>
      </c>
    </row>
    <row r="6" ht="27.75" customHeight="1" s="33">
      <c r="A6" s="30" t="inlineStr">
        <is>
          <t>Storable and Cacheable Content</t>
        </is>
      </c>
      <c r="B6" s="30" t="inlineStr">
        <is>
          <t>Informational</t>
        </is>
      </c>
      <c r="C6" s="30" t="inlineStr">
        <is>
          <t>Active</t>
        </is>
      </c>
      <c r="D6" s="30" t="inlineStr">
        <is>
          <t>4</t>
        </is>
      </c>
      <c r="E6" s="30" t="inlineStr">
        <is>
          <t>V3.4.1, V7.1.1</t>
        </is>
      </c>
      <c r="F6" s="31" t="inlineStr">
        <is>
          <t>OWASP ZAP detected cacheable content. Review caching headers for sensitive data.</t>
        </is>
      </c>
    </row>
  </sheetData>
  <mergeCells count="1">
    <mergeCell ref="A1:F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pt-PT</dc:language>
  <dcterms:created xsi:type="dcterms:W3CDTF">2026-03-04T10:14:28Z</dcterms:created>
  <dcterms:modified xsi:type="dcterms:W3CDTF">2026-06-10T17:06:10Z</dcterms:modified>
  <cp:lastModifiedBy>Pedro Teixeira</cp:lastModifiedBy>
  <cp:revision>5</cp:revision>
</cp:coreProperties>
</file>