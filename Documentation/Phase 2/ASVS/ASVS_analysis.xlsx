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droteixeira/ISEP/DESOFS/desofs2026-wed_pbs_5-2/Documentation/Phase 2/ASVS/"/>
    </mc:Choice>
  </mc:AlternateContent>
  <xr:revisionPtr revIDLastSave="0" documentId="13_ncr:1_{E3C3FF30-C41F-794F-9357-3A3A0EBDE6A6}" xr6:coauthVersionLast="47" xr6:coauthVersionMax="47" xr10:uidLastSave="{00000000-0000-0000-0000-000000000000}"/>
  <bookViews>
    <workbookView xWindow="0" yWindow="660" windowWidth="29400" windowHeight="17300" tabRatio="500"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 name="ZAP-ASVS Traceability"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1" l="1"/>
  <c r="F26" i="1"/>
  <c r="C26" i="1"/>
  <c r="B26" i="1"/>
  <c r="L25" i="1"/>
  <c r="J25" i="1"/>
  <c r="G25" i="1"/>
  <c r="M24" i="1"/>
  <c r="L24" i="1"/>
  <c r="J24" i="1"/>
  <c r="G24" i="1"/>
  <c r="L23" i="1"/>
  <c r="J23" i="1"/>
  <c r="H23" i="1"/>
  <c r="G23" i="1"/>
  <c r="E23" i="1"/>
  <c r="D23" i="1"/>
  <c r="L22" i="1"/>
  <c r="M25" i="1" s="1"/>
  <c r="J22" i="1"/>
  <c r="K25" i="1" s="1"/>
  <c r="G22" i="1"/>
  <c r="H25" i="1" s="1"/>
  <c r="E22" i="1"/>
  <c r="D22" i="1"/>
  <c r="L21" i="1"/>
  <c r="J21" i="1"/>
  <c r="K24" i="1" s="1"/>
  <c r="G21" i="1"/>
  <c r="H24" i="1" s="1"/>
  <c r="D21" i="1"/>
  <c r="M20" i="1"/>
  <c r="L20" i="1"/>
  <c r="M23" i="1" s="1"/>
  <c r="K20" i="1"/>
  <c r="J20" i="1"/>
  <c r="K23" i="1" s="1"/>
  <c r="G20" i="1"/>
  <c r="D20" i="1"/>
  <c r="L19" i="1"/>
  <c r="M22" i="1" s="1"/>
  <c r="J19" i="1"/>
  <c r="K22" i="1" s="1"/>
  <c r="G19" i="1"/>
  <c r="H22" i="1" s="1"/>
  <c r="D19" i="1"/>
  <c r="L18" i="1"/>
  <c r="M21" i="1" s="1"/>
  <c r="J18" i="1"/>
  <c r="K21" i="1" s="1"/>
  <c r="G18" i="1"/>
  <c r="H21" i="1" s="1"/>
  <c r="D18" i="1"/>
  <c r="E21" i="1" s="1"/>
  <c r="L17" i="1"/>
  <c r="G17" i="1"/>
  <c r="H20" i="1" s="1"/>
  <c r="D17" i="1"/>
  <c r="E20" i="1" s="1"/>
  <c r="M16" i="1"/>
  <c r="L16" i="1"/>
  <c r="M19" i="1" s="1"/>
  <c r="J16" i="1"/>
  <c r="K19" i="1" s="1"/>
  <c r="G16" i="1"/>
  <c r="H19" i="1" s="1"/>
  <c r="D16" i="1"/>
  <c r="E19" i="1" s="1"/>
  <c r="L15" i="1"/>
  <c r="M18" i="1" s="1"/>
  <c r="K15" i="1"/>
  <c r="J15" i="1"/>
  <c r="K18" i="1" s="1"/>
  <c r="G15" i="1"/>
  <c r="H18" i="1" s="1"/>
  <c r="D15" i="1"/>
  <c r="E18" i="1" s="1"/>
  <c r="L14" i="1"/>
  <c r="M17" i="1" s="1"/>
  <c r="J14" i="1"/>
  <c r="H14" i="1"/>
  <c r="G14" i="1"/>
  <c r="H17" i="1" s="1"/>
  <c r="D14" i="1"/>
  <c r="E17" i="1" s="1"/>
  <c r="L13" i="1"/>
  <c r="J13" i="1"/>
  <c r="K16" i="1" s="1"/>
  <c r="G13" i="1"/>
  <c r="H16" i="1" s="1"/>
  <c r="D13" i="1"/>
  <c r="E16" i="1" s="1"/>
  <c r="L12" i="1"/>
  <c r="M15" i="1" s="1"/>
  <c r="J12" i="1"/>
  <c r="G12" i="1"/>
  <c r="H15" i="1" s="1"/>
  <c r="D12" i="1"/>
  <c r="E15" i="1" s="1"/>
  <c r="L11" i="1"/>
  <c r="M14" i="1" s="1"/>
  <c r="J11" i="1"/>
  <c r="K14" i="1" s="1"/>
  <c r="G11" i="1"/>
  <c r="D11" i="1"/>
  <c r="E14" i="1" s="1"/>
  <c r="M10" i="1"/>
  <c r="L10" i="1"/>
  <c r="M13" i="1" s="1"/>
  <c r="K10" i="1"/>
  <c r="J10" i="1"/>
  <c r="K13" i="1" s="1"/>
  <c r="H10" i="1"/>
  <c r="G10" i="1"/>
  <c r="H13" i="1" s="1"/>
  <c r="E10" i="1"/>
  <c r="D10" i="1"/>
  <c r="E13" i="1" s="1"/>
  <c r="M9" i="1"/>
  <c r="L9" i="1"/>
  <c r="M12" i="1" s="1"/>
  <c r="K9" i="1"/>
  <c r="J9" i="1"/>
  <c r="K12" i="1" s="1"/>
  <c r="H9" i="1"/>
  <c r="G9" i="1"/>
  <c r="H12" i="1" s="1"/>
  <c r="E9" i="1"/>
  <c r="D9" i="1"/>
  <c r="E12" i="1" s="1"/>
  <c r="E26" i="1" l="1"/>
  <c r="M26" i="1"/>
  <c r="H26" i="1"/>
  <c r="K26" i="1"/>
  <c r="D26" i="1"/>
  <c r="G26" i="1"/>
  <c r="J26" i="1"/>
  <c r="L26" i="1"/>
</calcChain>
</file>

<file path=xl/sharedStrings.xml><?xml version="1.0" encoding="utf-8"?>
<sst xmlns="http://schemas.openxmlformats.org/spreadsheetml/2006/main" count="2188" uniqueCount="1014">
  <si>
    <t>Combined ASVS Tracker - Sprint 1 &amp; Sprint 2</t>
  </si>
  <si>
    <t>Sprint 1: Functional Requirements Testing (RF01, RF02, RF03, RF04)</t>
  </si>
  <si>
    <t>Sprint 2: OWASP ZAP Dynamic Analysis (Baseline + Active Scan)</t>
  </si>
  <si>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</si>
  <si>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</si>
  <si>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</si>
  <si>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</si>
  <si>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</si>
  <si>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</si>
  <si>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</si>
  <si>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</si>
  <si>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</si>
  <si>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</si>
  <si>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</si>
  <si>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</si>
  <si>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</si>
  <si>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</si>
  <si>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</si>
  <si>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</si>
  <si>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</si>
  <si>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0%</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</si>
  <si>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</si>
  <si>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</si>
  <si>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</si>
  <si>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</si>
  <si>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</si>
  <si>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</si>
  <si>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</si>
  <si>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</si>
  <si>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</si>
  <si>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</si>
  <si>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</si>
  <si>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</si>
  <si>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</si>
  <si>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</si>
  <si>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</si>
  <si>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</si>
  <si>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</si>
  <si>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</si>
  <si>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</si>
  <si>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</si>
  <si>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</si>
  <si>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</si>
  <si>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</si>
  <si>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</si>
  <si>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</si>
  <si>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</si>
  <si>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</si>
  <si>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</si>
  <si>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Applicable</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</si>
  <si>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</si>
  <si>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</si>
  <si>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</si>
  <si>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</si>
  <si>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</si>
  <si>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</si>
  <si>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</si>
  <si>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</si>
  <si>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</si>
  <si>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</si>
  <si>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</si>
  <si>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</si>
  <si>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Compliant</t>
  </si>
  <si>
    <t>EF Core is used for all database operations throughout the application (UserRepository, LawyerAppDbContext). EF Core generates parameterized SQL queries by default, preventing SQL injection. No raw SQL strings are used anywhere in the codebase.</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</si>
  <si>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</si>
  <si>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</si>
  <si>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</si>
  <si>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</si>
  <si>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</si>
  <si>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</si>
  <si>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</si>
  <si>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</si>
  <si>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</si>
  <si>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</si>
  <si>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</si>
  <si>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</si>
  <si>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</si>
  <si>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</si>
  <si>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</si>
  <si>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</si>
  <si>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</si>
  <si>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</si>
  <si>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</si>
  <si>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</si>
  <si>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</si>
  <si>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</si>
  <si>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</si>
  <si>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</si>
  <si>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</si>
  <si>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</si>
  <si>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</si>
  <si>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</si>
  <si>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</si>
  <si>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</si>
  <si>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</si>
  <si>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</si>
  <si>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</si>
  <si>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</si>
  <si>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</si>
  <si>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</si>
  <si>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</si>
  <si>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</si>
  <si>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</si>
  <si>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</si>
  <si>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</si>
  <si>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</si>
  <si>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</si>
  <si>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</si>
  <si>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</si>
  <si>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</si>
  <si>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</si>
  <si>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</si>
  <si>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</si>
  <si>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</si>
  <si>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</si>
  <si>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</si>
  <si>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</si>
  <si>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</si>
  <si>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</si>
  <si>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</si>
  <si>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</si>
  <si>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</si>
  <si>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Not Started</t>
  </si>
  <si>
    <t>[Sprint 2] The application's documentation must define input validation rules for all data inputs, including format, length, and allowed character sets. Documentation is pending.</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</si>
  <si>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</si>
  <si>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</si>
  <si>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</si>
  <si>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</si>
  <si>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[Sprint 2] Business logic limits and validation expectations (per-user and global) must be formally documented. Documentation is pending.</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</si>
  <si>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</si>
  <si>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</si>
  <si>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</si>
  <si>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</si>
  <si>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[Sprint 2] All inputs used for business or security decisions must be validated against defined allow-lists, patterns, or structural rules. Implementation review is pending.</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</si>
  <si>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</si>
  <si>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</si>
  <si>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</si>
  <si>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</si>
  <si>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</si>
  <si>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</si>
  <si>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</si>
  <si>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</si>
  <si>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[Sprint 2] The application must enforce sequential processing of business logic flows and prevent step skipping. Enforcement mechanisms have not yet been verified.</t>
  </si>
  <si>
    <t>V2.3.2</t>
  </si>
  <si>
    <t>Verify that business logic limits are implemented per the application's documentation to avoid business logic flaws being exploited.</t>
  </si>
  <si>
    <t>[Sprint 2] Business logic limits as defined in documentation must be implemented in the backend. Implementation is pending completion of V2.1.3.</t>
  </si>
  <si>
    <t>V2.3.3</t>
  </si>
  <si>
    <t>Verify that transactions are being used at the business logic level such that either a business logic operation succeeds in its entirety or it is rolled back to the previous correct state.</t>
  </si>
  <si>
    <t>[Sprint 2] Backend operations affecting multiple data stores must be atomic; on failure, all changes must be rolled back to maintain consistency. Transaction boundary review is pending.</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</si>
  <si>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</si>
  <si>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</si>
  <si>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</si>
  <si>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</si>
  <si>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</si>
  <si>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</si>
  <si>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</si>
  <si>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</si>
  <si>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[Sprint 2] Rate limiting or other anti-automation controls must be applied to all public API endpoints to prevent data exfiltration, quota exhaustion, and denial-of-service. Implementation is pending.</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</si>
  <si>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</si>
  <si>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</si>
  <si>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</si>
  <si>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</si>
  <si>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</si>
  <si>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</si>
  <si>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</si>
  <si>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</si>
  <si>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</si>
  <si>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</si>
  <si>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</si>
  <si>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</si>
  <si>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</si>
  <si>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</si>
  <si>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</si>
  <si>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</si>
  <si>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</si>
  <si>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</si>
  <si>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</si>
  <si>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</si>
  <si>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</si>
  <si>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</si>
  <si>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</si>
  <si>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</si>
  <si>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</si>
  <si>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</si>
  <si>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</si>
  <si>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</si>
  <si>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</si>
  <si>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</si>
  <si>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OWASP ZAP Active Scan</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</si>
  <si>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</si>
  <si>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</si>
  <si>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</si>
  <si>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</si>
  <si>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</si>
  <si>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</si>
  <si>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</si>
  <si>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</si>
  <si>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</si>
  <si>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</si>
  <si>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</si>
  <si>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</si>
  <si>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</si>
  <si>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</si>
  <si>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</si>
  <si>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</si>
  <si>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</si>
  <si>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</si>
  <si>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</si>
  <si>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</si>
  <si>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</si>
  <si>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</si>
  <si>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</si>
  <si>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</si>
  <si>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</si>
  <si>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</si>
  <si>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</si>
  <si>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</si>
  <si>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</si>
  <si>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</si>
  <si>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</si>
  <si>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</si>
  <si>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</si>
  <si>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</si>
  <si>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</si>
  <si>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</si>
  <si>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</si>
  <si>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</si>
  <si>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</si>
  <si>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</si>
  <si>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</si>
  <si>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</si>
  <si>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</si>
  <si>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</si>
  <si>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</si>
  <si>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</si>
  <si>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</si>
  <si>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</si>
  <si>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</si>
  <si>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</si>
  <si>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</si>
  <si>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</si>
  <si>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[Sprint 1 – RF02/RF03] Every REST API response explicitly sets the Content-Type header (e.g., application/json; charset=utf-8). Validation performed during RF02 and RF03 testing confirmed correct header presence on all documented endpoints.</t>
  </si>
  <si>
    <t>RF03 - Gestao Documental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</si>
  <si>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</si>
  <si>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</si>
  <si>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</si>
  <si>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</si>
  <si>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</si>
  <si>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</si>
  <si>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[Sprint 2] The API must reject HTTP methods not explicitly supported (e.g., TRACE, unused verbs) with an appropriate 405 response. Method allowlist enforcement has not yet been verified.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</si>
  <si>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</si>
  <si>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</si>
  <si>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</si>
  <si>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</si>
  <si>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</si>
  <si>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</si>
  <si>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[Sprint 2] All components in the request pipeline (reverse proxy, application server) must parse HTTP/1.x message boundaries consistently to prevent request smuggling. Configuration review is pending.</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</si>
  <si>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</si>
  <si>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</si>
  <si>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</si>
  <si>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</si>
  <si>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</si>
  <si>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</si>
  <si>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</si>
  <si>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</si>
  <si>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</si>
  <si>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</si>
  <si>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</si>
  <si>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</si>
  <si>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</si>
  <si>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</si>
  <si>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</si>
  <si>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</si>
  <si>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</si>
  <si>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</si>
  <si>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</si>
  <si>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</si>
  <si>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</si>
  <si>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</si>
  <si>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</si>
  <si>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</si>
  <si>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</si>
  <si>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</si>
  <si>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</si>
  <si>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</si>
  <si>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In Progress</t>
  </si>
  <si>
    <t>[Sprint 1 – RF03] The specification permits PDF and DOCX uploads and enforces unique filenames per process. However, the documentation does not yet define: (a) the maximum permitted file size, (b) the maximum unpacked size for archives, or (c) the application's behaviour when a malicious file is detected. These gaps must be addressed in the next documentation review.</t>
  </si>
  <si>
    <t>V5.2</t>
  </si>
  <si>
    <t>File Upload and Content</t>
  </si>
  <si>
    <t>V5.2.1</t>
  </si>
  <si>
    <t>Verify that the application will only accept files of a size which it can process without causing a loss of performance or a denial of service attack.</t>
  </si>
  <si>
    <t>[Sprint 2 – RF03] The application must enforce a maximum file size for uploads to prevent denial-of-service through oversized files. A size limit has not yet been defined or enforced.</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</si>
  <si>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</si>
  <si>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</si>
  <si>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[Sprint 2 – RF03] Uploaded files must be validated by both extension and file content (magic bytes) to ensure the declared type matches the actual content. Validation logic has not yet been implemented.</t>
  </si>
  <si>
    <t>V5.2.3</t>
  </si>
  <si>
    <t>Verify that the application checks compressed files (e.g., zip, gz, docx, odt) against maximum allowed uncompressed size and against maximum number of files before uncompressing the file.</t>
  </si>
  <si>
    <t>[Sprint 2 – RF03] The application must check compressed files (e.g., DOCX archives) against maximum allowed uncompressed size before extraction to prevent zip-bomb attacks. Enforcement is pending.</t>
  </si>
  <si>
    <t>V5.2.4</t>
  </si>
  <si>
    <t>Verify that a file size quota and maximum number of files per user are enforced to ensure that a single user cannot fill up the storage with too many files, or excessively large files.</t>
  </si>
  <si>
    <t>[Sprint 2 – RF03] A per-user quota for total storage size and number of uploaded files must be enforced to prevent storage exhaustion. Quota enforcement has not yet been implemented.</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</si>
  <si>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</si>
  <si>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</si>
  <si>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</si>
  <si>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</si>
  <si>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</si>
  <si>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</si>
  <si>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</si>
  <si>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</si>
  <si>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</si>
  <si>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</si>
  <si>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Document entity (Domain/Aggregates/DocumentAggregate/Document.cs) generates an internal filename: StoredFileName = $"{Guid.NewGuid()}{Path.GetExtension(fileName)}". The user-submitted filename is retained separately (FileName) for display only. No file storage controller is implemented yet — the domain design is correct but not deployed.</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</si>
  <si>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</si>
  <si>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</si>
  <si>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</si>
  <si>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</si>
  <si>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</si>
  <si>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</si>
  <si>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[Sprint 2 – RF03] The application must specify a safe filename in the Content-Disposition response header for file downloads, ignoring any user-supplied filename parameters. Implementation pending.</t>
  </si>
  <si>
    <t>V5.4.2</t>
  </si>
  <si>
    <t>Verify that file names served (e.g., in HTTP response header fields or email attachments) are encoded or sanitized (e.g., following RFC 6266) to preserve document structure and prevent injection attacks.</t>
  </si>
  <si>
    <t>[Sprint 2 – RF03] Filenames included in HTTP response headers must be encoded or sanitized per RFC 6266 to prevent header injection. Implementation pending.</t>
  </si>
  <si>
    <t>V5.4.3</t>
  </si>
  <si>
    <t>Verify that files obtained from untrusted sources are scanned by antivirus scanners to prevent serving of known malicious content.</t>
  </si>
  <si>
    <t>[Sprint 2 – RF03] Files accepted from untrusted sources must be scanned by an antivirus or malware detection service before being served to other users. Integration with a scanning service is pending.</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</si>
  <si>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</si>
  <si>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</si>
  <si>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</si>
  <si>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</si>
  <si>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No rate limiting, anti-automation, or account lockout is implemented. LoginService returns 401 immediately on failure with no throttling. Credential stuffing and brute force attacks are unmitigated.</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</si>
  <si>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</si>
  <si>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</si>
  <si>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</si>
  <si>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</si>
  <si>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</si>
  <si>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</si>
  <si>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</si>
  <si>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</si>
  <si>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CreateClientDto accepts any password string without minimum length validation. No data annotations or domain validation enforce a minimum of 8 characters.</t>
  </si>
  <si>
    <t>V6.2.2</t>
  </si>
  <si>
    <t>Verify that users can change their password.</t>
  </si>
  <si>
    <t>No password change endpoint exists. Only POST /api/auth/register and POST /api/auth/login are implemented. Users cannot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</si>
  <si>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</si>
  <si>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</si>
  <si>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</si>
  <si>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</si>
  <si>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No common or breached password check is performed during registration. Any string is accepted and hashed without validation against a blocklist.</t>
  </si>
  <si>
    <t>V6.2.5</t>
  </si>
  <si>
    <t>Verify that passwords of any composition can be used, without rules limiting the type of characters permitted. There must be no requirement for a minimum number of upper or lower case characters, numbers, or special characters.</t>
  </si>
  <si>
    <t>No character composition rules are enforced in CreateClientDto or BCryptPasswordHasher. Passwords of any composition (upper, lower, digits, symbols) are accepted.</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</si>
  <si>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</si>
  <si>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</si>
  <si>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</si>
  <si>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</si>
  <si>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</si>
  <si>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</si>
  <si>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BCryptPasswordHasher.VerifyPassword passes the raw password directly to BCrypt.Net.BCrypt.Verify without any truncation, trimming, or case transformation in application code.</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</si>
  <si>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</si>
  <si>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</si>
  <si>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</si>
  <si>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</si>
  <si>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No periodic password rotation or expiry policy is implemented. Passwords remain valid indefinitely unless the user explicitly changes them (feature not yet built).</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</si>
  <si>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</si>
  <si>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</si>
  <si>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</si>
  <si>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</si>
  <si>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</si>
  <si>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</si>
  <si>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</si>
  <si>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</si>
  <si>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LoginService applies no rate limiting or credential stuffing mitigations. Failed login attempts return 401 without delay, lockout, or CAPTCHA.</t>
  </si>
  <si>
    <t>V6.3.2</t>
  </si>
  <si>
    <t>Verify that default user accounts (e.g., "root", "admin", or "sa") are not present in the application or are disabled.</t>
  </si>
  <si>
    <t>No default system accounts (root, admin, sa, administrator) are seeded or hardcoded in the application. All users are created exclusively via POST /api/auth/register.</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</si>
  <si>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</si>
  <si>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</si>
  <si>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</si>
  <si>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</si>
  <si>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</si>
  <si>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</si>
  <si>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</si>
  <si>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</si>
  <si>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</si>
  <si>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</si>
  <si>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</si>
  <si>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</si>
  <si>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</si>
  <si>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</si>
  <si>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</si>
  <si>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</si>
  <si>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</si>
  <si>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</si>
  <si>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No password hints, security questions, or knowledge-based authentication are present in any DTO, entity, controller, or service.</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</si>
  <si>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</si>
  <si>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</si>
  <si>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</si>
  <si>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</si>
  <si>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</si>
  <si>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</si>
  <si>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</si>
  <si>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</si>
  <si>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</si>
  <si>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</si>
  <si>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</si>
  <si>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</si>
  <si>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</si>
  <si>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</si>
  <si>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</si>
  <si>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</si>
  <si>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</si>
  <si>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</si>
  <si>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</si>
  <si>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</si>
  <si>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</si>
  <si>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</si>
  <si>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</si>
  <si>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</si>
  <si>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</si>
  <si>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</si>
  <si>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</si>
  <si>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</si>
  <si>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</si>
  <si>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</si>
  <si>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</si>
  <si>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</si>
  <si>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</si>
  <si>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</si>
  <si>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</si>
  <si>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</si>
  <si>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</si>
  <si>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</si>
  <si>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</si>
  <si>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</si>
  <si>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</si>
  <si>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</si>
  <si>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</si>
  <si>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</si>
  <si>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</si>
  <si>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</si>
  <si>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</si>
  <si>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</si>
  <si>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</si>
  <si>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</si>
  <si>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</si>
  <si>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</si>
  <si>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</si>
  <si>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</si>
  <si>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</si>
  <si>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</si>
  <si>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</si>
  <si>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</si>
  <si>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</si>
  <si>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</si>
  <si>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</si>
  <si>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</si>
  <si>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</si>
  <si>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</si>
  <si>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JWT token verification is fully delegated to the ASP.NET Core JWT Bearer middleware configured in Program.cs (ValidateIssuerSigningKey, ValidateIssuer, ValidateAudience, ValidateLifetime). No client-side or frontend validation is relied upon.</t>
  </si>
  <si>
    <t>V7.2.2</t>
  </si>
  <si>
    <t>Verify that the application uses either self-contained or reference tokens that are dynamically generated for session management, i.e. not using static API secrets and keys.</t>
  </si>
  <si>
    <t>JwtProvider.Generate() creates a new self-contained JWT on every login, signed with HMAC-SHA256. Tokens are stateless (not stored server-side) and expire after 30 minutes. This matches the requirement for dynamically generated session tokens.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</si>
  <si>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</si>
  <si>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</si>
  <si>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</si>
  <si>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</si>
  <si>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</si>
  <si>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</si>
  <si>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</si>
  <si>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</si>
  <si>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</si>
  <si>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</si>
  <si>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</si>
  <si>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</si>
  <si>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</si>
  <si>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</si>
  <si>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</si>
  <si>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</si>
  <si>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</si>
  <si>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</si>
  <si>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</si>
  <si>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</si>
  <si>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</si>
  <si>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</si>
  <si>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</si>
  <si>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</si>
  <si>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</si>
  <si>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</si>
  <si>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</si>
  <si>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</si>
  <si>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</si>
  <si>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</si>
  <si>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</si>
  <si>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</si>
  <si>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</si>
  <si>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</si>
  <si>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</si>
  <si>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</si>
  <si>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</si>
  <si>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</si>
  <si>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</si>
  <si>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</si>
  <si>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[Sprint 2] Authorization rules restricting function-level and data-specific access based on consumer permissions are under documentation. Formal documentation review not yet completed.</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</si>
  <si>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</si>
  <si>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</si>
  <si>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[Sprint 2] Field-level access restriction rules (read and write) dependent on consumer permissions and resource state are not yet formally documented.</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</si>
  <si>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</si>
  <si>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</si>
  <si>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</si>
  <si>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</si>
  <si>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</si>
  <si>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</si>
  <si>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</si>
  <si>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</si>
  <si>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ClientController.GetAll() and ClientController.Post() have no [Authorize] attribute. GET /api/client/get/all and POST /api/client/create are publicly accessible without authentication. Only endpoints using the ApiController base class have token validation.</t>
  </si>
  <si>
    <t>V8.2.2</t>
  </si>
  <si>
    <t>Verify that the application ensures that data-specific access is restricted to consumers with explicit permissions to specific data items to mitigate insecure direct object reference (IDOR) and broken object level authorization (BOLA).</t>
  </si>
  <si>
    <t>GetAllClientsAsync() returns all Client records to any caller without checking the caller's identity or role. No IDOR mitigations exist - a client can access other clients' data via GET /api/client/get/all.</t>
  </si>
  <si>
    <t>V8.2.3</t>
  </si>
  <si>
    <t>Verify that the application ensures that field-level access is restricted to consumers with explicit permissions to specific fields to mitigate broken object property level authorization (BOPLA).</t>
  </si>
  <si>
    <t>[Sprint 2] Field-level access restrictions to mitigate BOPLA are planned in the authorization design. Not yet verified through testing.</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</si>
  <si>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</si>
  <si>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</si>
  <si>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</si>
  <si>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</si>
  <si>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</si>
  <si>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</si>
  <si>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ClientController.GetAll() and ClientController.Post() have no [Authorize] attribute, meaning authorization is not enforced at the service layer for those endpoints. Any unauthenticated consumer can access all client records or create clients without a valid token.</t>
  </si>
  <si>
    <t>OWASP ASVS 5.0 §V8.3.1</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</si>
  <si>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</si>
  <si>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</si>
  <si>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</si>
  <si>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</si>
  <si>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</si>
  <si>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</si>
  <si>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</si>
  <si>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</si>
  <si>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[Sprint 2] Cross-tenant isolation controls to prevent consumers affecting unauthorized tenants are part of the system design. Verification pending.</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</si>
  <si>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</si>
  <si>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</si>
  <si>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</si>
  <si>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</si>
  <si>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</si>
  <si>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</si>
  <si>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Program.cs sets ValidateIssuerSigningKey = true. Tokens with an invalid or missing HMAC-SHA256 signature are rejected by the ASP.NET JWT middleware before reaching any controller.</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</si>
  <si>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</si>
  <si>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</si>
  <si>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JwtProvider.Generate() signs tokens exclusively with SecurityAlgorithms.HmacSha256. The ASP.NET JWT Bearer middleware rejects tokens using the "None" algorithm by default. No algorithm allowlist configuration is needed beyond the single-algorithm setup.</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</si>
  <si>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</si>
  <si>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</si>
  <si>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The JWT signing key is a static string hardcoded in appsettings.json and committed to source control. HashiCorp Vault integration (InfrastructureDependecies.cs) is implemented but commented out. Key material is not loaded from a pre-configured, trusted external source at runtime.</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</si>
  <si>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</si>
  <si>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</si>
  <si>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</si>
  <si>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</si>
  <si>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JwtProvider sets expiry to DateTime.UtcNow.AddMinutes(30). Program.cs sets ValidateLifetime = true. Expired tokens are rejected by the middleware before reaching controllers.</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</si>
  <si>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</si>
  <si>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</si>
  <si>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ValidateAudience = true and ValidAudience = "LawyerAppUsers" are set in Program.cs. Tokens issued for a different audience are rejected. No token-type differentiation (access vs refresh) is needed since only access tokens are issued.</t>
  </si>
  <si>
    <t>V9.2.3</t>
  </si>
  <si>
    <t>Verify that the service only accepts tokens which are intended for use with that service (audience). For JWTs, this can be achieved by validating the 'aud' claim against an allowlist defined in the service.</t>
  </si>
  <si>
    <t>ValidateAudience = true with ValidAudience = "LawyerAppUsers" in Program.cs. Only tokens explicitly scoped to this service are accepted.</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</si>
  <si>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</si>
  <si>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</si>
  <si>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</si>
  <si>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</si>
  <si>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</si>
  <si>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</si>
  <si>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</si>
  <si>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</si>
  <si>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</si>
  <si>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</si>
  <si>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</si>
  <si>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</si>
  <si>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</si>
  <si>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</si>
  <si>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</si>
  <si>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</si>
  <si>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</si>
  <si>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</si>
  <si>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</si>
  <si>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</si>
  <si>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</si>
  <si>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</si>
  <si>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</si>
  <si>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</si>
  <si>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</si>
  <si>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</si>
  <si>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</si>
  <si>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</si>
  <si>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</si>
  <si>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</si>
  <si>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</si>
  <si>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</si>
  <si>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</si>
  <si>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</si>
  <si>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</si>
  <si>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</si>
  <si>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</si>
  <si>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</si>
  <si>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</si>
  <si>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</si>
  <si>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</si>
  <si>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</si>
  <si>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</si>
  <si>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</si>
  <si>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</si>
  <si>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</si>
  <si>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</si>
  <si>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</si>
  <si>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</si>
  <si>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</si>
  <si>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</si>
  <si>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</si>
  <si>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</si>
  <si>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</si>
  <si>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</si>
  <si>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</si>
  <si>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</si>
  <si>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</si>
  <si>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</si>
  <si>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</si>
  <si>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</si>
  <si>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</si>
  <si>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</si>
  <si>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</si>
  <si>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</si>
  <si>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</si>
  <si>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</si>
  <si>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</si>
  <si>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</si>
  <si>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</si>
  <si>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</si>
  <si>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</si>
  <si>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</si>
  <si>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</si>
  <si>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</si>
  <si>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</si>
  <si>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</si>
  <si>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</si>
  <si>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</si>
  <si>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</si>
  <si>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</si>
  <si>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</si>
  <si>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</si>
  <si>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</si>
  <si>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</si>
  <si>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</si>
  <si>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</si>
  <si>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</si>
  <si>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</si>
  <si>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</si>
  <si>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</si>
  <si>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</si>
  <si>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[Sprint 2] A documented key management policy following NIST SP 800-57 is required. Policy drafting is in progress; no evidence of completion yet.</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</si>
  <si>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</si>
  <si>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</si>
  <si>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[Sprint 2] A cryptographic inventory covering all algorithms, keys, and certificates used by the application is required. Inventory has not yet been formally produced.</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</si>
  <si>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</si>
  <si>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</si>
  <si>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</si>
  <si>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</si>
  <si>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</si>
  <si>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</si>
  <si>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</si>
  <si>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</si>
  <si>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BCrypt.Net-Next (industry-standard Blowfish-based KDF) is used for password hashing. Microsoft.IdentityModel.Tokens (official Microsoft library) handles JWT HMAC-SHA256 operations. Both are well-maintained, industry-validated implementations.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</si>
  <si>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</si>
  <si>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</si>
  <si>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[Sprint 2] The system design should allow cryptographic algorithm replacement without major refactoring (crypto agility). This includes readiness for post-quantum cryptography migration. Formal design review is pending.</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</si>
  <si>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</si>
  <si>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</si>
  <si>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HMAC-SHA256 provides 128 bits of security for JWT signing. BCrypt default work factor provides adaptive security for password hashing. No weak or sub-128-bit algorithm is used.</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</si>
  <si>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</si>
  <si>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</si>
  <si>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</si>
  <si>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</si>
  <si>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</si>
  <si>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</si>
  <si>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</si>
  <si>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</si>
  <si>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No symmetric block cipher is used directly in the application. BCrypt (Blowfish-based KDF) does not use ECB mode. HMAC-SHA256 is a MAC, not a block cipher. No PKCS#1 v1.5 padding is used.</t>
  </si>
  <si>
    <t>V11.3.2</t>
  </si>
  <si>
    <t>Verify that only approved ciphers and modes such as AES with GCM are used.</t>
  </si>
  <si>
    <t>[Sprint 2] Only approved authenticated encryption algorithms such as AES-GCM must be used. Cipher configuration audit is pending.</t>
  </si>
  <si>
    <t>V11.3.3</t>
  </si>
  <si>
    <t>Verify that encrypted data is protected against unauthorized modification preferably by using an approved authenticated encryption method or by combining an approved encryption method with an approved MAC algorithm.</t>
  </si>
  <si>
    <t>[Sprint 2] Encrypted data must be integrity-protected using an authenticated encryption method or a MAC. Implementation review pending.</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</si>
  <si>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</si>
  <si>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</si>
  <si>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</si>
  <si>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</si>
  <si>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</si>
  <si>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</si>
  <si>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</si>
  <si>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</si>
  <si>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HMAC-SHA256 (approved) is used for JWT signing in JwtProvider. BCrypt.Net (Blowfish-based approved KDF) is used for password storage. No use of MD5, SHA1, or other disallowed hash functions is present in the codebase.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</si>
  <si>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</si>
  <si>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</si>
  <si>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BCryptPasswordHasher.HashPassword() uses BCrypt.Net.BCrypt.HashPassword() which implements the bcrypt KDF (computationally intensive, includes salt). Passwords are never stored in plain text - only the bcrypt hash is persisted.</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</si>
  <si>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</si>
  <si>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</si>
  <si>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</si>
  <si>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</si>
  <si>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</si>
  <si>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</si>
  <si>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</si>
  <si>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</si>
  <si>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</si>
  <si>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</si>
  <si>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</si>
  <si>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</si>
  <si>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</si>
  <si>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</si>
  <si>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</si>
  <si>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</si>
  <si>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</si>
  <si>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</si>
  <si>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</si>
  <si>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</si>
  <si>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</si>
  <si>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</si>
  <si>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</si>
  <si>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</si>
  <si>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</si>
  <si>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</si>
  <si>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app.UseHttpsRedirection() is configured in Program.cs, enforcing HTTPS at the application layer. TLS version restriction (1.2/1.3 only) and cipher suite selection are handled at the infrastructure/reverse proxy level and are not explicitly configured in application code.</t>
  </si>
  <si>
    <t>V12.1.2</t>
  </si>
  <si>
    <t>Verify that only recommended cipher suites are enabled, with the strongest cipher suites set as preferred. L3 applications must only support cipher suites which provide forward secrecy.</t>
  </si>
  <si>
    <t>[Sprint 2] Only approved cipher suites must be enabled, with those providing forward secrecy (e.g., ECDHE) preferred. Cipher suite configuration review pending.</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</si>
  <si>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</si>
  <si>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</si>
  <si>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</si>
  <si>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</si>
  <si>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</si>
  <si>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</si>
  <si>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</si>
  <si>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</si>
  <si>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</si>
  <si>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</si>
  <si>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</si>
  <si>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</si>
  <si>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HTTPS redirect is enforced via UseHttpsRedirection() in Program.cs. Dockerfile exposes ports 8080/8081. TLS termination is expected at the reverse proxy / container orchestrator level. Certificate validity enforcement depends on deployment configuration.</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</si>
  <si>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</si>
  <si>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</si>
  <si>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</si>
  <si>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</si>
  <si>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</si>
  <si>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</si>
  <si>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</si>
  <si>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</si>
  <si>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</si>
  <si>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</si>
  <si>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</si>
  <si>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</si>
  <si>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</si>
  <si>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</si>
  <si>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</si>
  <si>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</si>
  <si>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No documentation exists defining communication needs between application components. External services used (PostgreSQL, planned HashiCorp Vault) are not formally documented with connection limits, timeouts, or security controls.</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</si>
  <si>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</si>
  <si>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</si>
  <si>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</si>
  <si>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</si>
  <si>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</si>
  <si>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</si>
  <si>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</si>
  <si>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</si>
  <si>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</si>
  <si>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</si>
  <si>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</si>
  <si>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</si>
  <si>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</si>
  <si>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</si>
  <si>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The database connection string is read from configuration at startup but no verification is performed to ensure it is not using default credentials. HashiCorp Vault integration (InfrastructureDependecies.cs) is implemented but commented out.</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</si>
  <si>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</si>
  <si>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</si>
  <si>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</si>
  <si>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</si>
  <si>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</si>
  <si>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</si>
  <si>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</si>
  <si>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</si>
  <si>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</si>
  <si>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</si>
  <si>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The JWT SecretKey is stored as a plain string in appsettings.json (committed to source control). HashiCorp Vault integration is coded (Infrastructure/HashiCorp/VaultSettings.cs) but commented out in InfrastructureDependecies.cs. No vault or secrets manager is active at runtime.</t>
  </si>
  <si>
    <t>V13.3.2</t>
  </si>
  <si>
    <t>Verify that access to secret assets adheres to the principle of least privilege.</t>
  </si>
  <si>
    <t>No secrets management solution is active, so least-privilege access to secret assets cannot be enforced. JWT key and DB credentials are accessible to all code that reads configuration.</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</si>
  <si>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</si>
  <si>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</si>
  <si>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</si>
  <si>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</si>
  <si>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</si>
  <si>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</si>
  <si>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</si>
  <si>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</si>
  <si>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.dockerignore excludes **/.git but then re-includes .git/HEAD, .git/config, .git/packed-refs, and .git/refs/heads/** with negation rules. These .git metadata files are copied into the Docker image, potentially leaking repository structure and remote URLs.</t>
  </si>
  <si>
    <t>V13.4.2</t>
  </si>
  <si>
    <t>Verify that debug modes are disabled for all components in production environments to prevent exposure of debugging features and information leakage.</t>
  </si>
  <si>
    <t>Swagger UI and Swagger JSON are only registered inside "if (app.Environment.IsDevelopment())" in Program.cs. In production, no debug/documentation endpoints are exposed.</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</si>
  <si>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</si>
  <si>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</si>
  <si>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</si>
  <si>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</si>
  <si>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</si>
  <si>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</si>
  <si>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</si>
  <si>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</si>
  <si>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</si>
  <si>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</si>
  <si>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</si>
  <si>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</si>
  <si>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</si>
  <si>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</si>
  <si>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[Sprint 2] All sensitive data processed by the application (including PII, document content, audit logs, and authentication credentials) must be identified and classified into protection levels. Classification exercise not yet completed.</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</si>
  <si>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</si>
  <si>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</si>
  <si>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[Sprint 2] Protection requirements per classification level (encryption at rest/transit, retention periods, access control, logging rules) must be documented. Requirements documentation is pending.</t>
  </si>
  <si>
    <t>V14.2</t>
  </si>
  <si>
    <t>General Data Protection</t>
  </si>
  <si>
    <t>V14.2.1</t>
  </si>
  <si>
    <t>Verify that sensitive data is only sent to the server in the HTTP message body or header fields, and that the URL and query string do not contain sensitive information, such as an API key or session token.</t>
  </si>
  <si>
    <t>The JWT SecretKey is hardcoded as a plain string in appsettings.json and committed to source control. HashiCorp Vault integration is coded in InfrastructureDependecies.cs but commented out. Secret must be externalized to environment variables or Vault before production deployment.</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</si>
  <si>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</si>
  <si>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</si>
  <si>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</si>
  <si>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</si>
  <si>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</si>
  <si>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</si>
  <si>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[Sprint 2] Implementation of encryption, integrity, retention, logging controls, and access controls for each sensitive data category must match the documented protection requirements. Verification pending completion of V14.1.2.</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</si>
  <si>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</si>
  <si>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</si>
  <si>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</si>
  <si>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</si>
  <si>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</si>
  <si>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</si>
  <si>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[Sprint 2] Sensitive data must be subject to a retention policy with automated or scheduled deletion of outdated data. Retention policy and enforcement mechanism not yet defined.</t>
  </si>
  <si>
    <t>V14.2.8</t>
  </si>
  <si>
    <t>Verify that sensitive information is removed from the metadata of user-submitted files unless storage is consented to by the user.</t>
  </si>
  <si>
    <t>[Sprint 2 – RF03] Files submitted by users (PDF, DOCX) may contain embedded metadata (author, revision history, GPS coordinates). The application must strip this metadata or obtain explicit user consent before storage. Implementation pending.</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</si>
  <si>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</si>
  <si>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</si>
  <si>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</si>
  <si>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</si>
  <si>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</si>
  <si>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</si>
  <si>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</si>
  <si>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</si>
  <si>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</si>
  <si>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</si>
  <si>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</si>
  <si>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</si>
  <si>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No documentation defines risk-based remediation timeframes for third-party components with known vulnerabilities (e.g., BCrypt.Net-Next, EF Core, VaultSharp, Microsoft.IdentityModel.Tokens).</t>
  </si>
  <si>
    <t>V15.1.2</t>
  </si>
  <si>
    <t>Verify that an inventory catalog, such as software bill of materials (SBOM), is maintained of all third-party libraries in use, including verifying that components come from pre-defined, trusted, and continually maintained repositories.</t>
  </si>
  <si>
    <t>No Software Bill of Materials (SBOM) is generated or maintained for the application. Dependencies are defined in LawyerApp.csproj but not formally inventoried with version and vulnerability status.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</si>
  <si>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</si>
  <si>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</si>
  <si>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</si>
  <si>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</si>
  <si>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</si>
  <si>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</si>
  <si>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</si>
  <si>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</si>
  <si>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</si>
  <si>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</si>
  <si>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No automated or manual process verifies that all third-party components (NuGet packages) are within their documented remediation timeframe. No tooling such as Dependabot or NuGet audit is configured.</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</si>
  <si>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</si>
  <si>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</si>
  <si>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</si>
  <si>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</si>
  <si>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The Dockerfile uses a multi-stage build: only the published Release output is copied to the final image. Debug tools, SDK, and source files are excluded. Swagger is restricted to IsDevelopment(). No test code or developer backdoors are present in the production image.</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</si>
  <si>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</si>
  <si>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</si>
  <si>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</si>
  <si>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</si>
  <si>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</si>
  <si>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</si>
  <si>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</si>
  <si>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</si>
  <si>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ClientService.GetAllClientsAsync returns ClientDto (Name, Email only) — PasswordHash, BillingAddress, PhoneNumber, and CreatedAt are not exposed. LoginOutputDTO returns only the JWT token and role. No entity is serialized directly to the API response.</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</si>
  <si>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</si>
  <si>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</si>
  <si>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</si>
  <si>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</si>
  <si>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CreateClientDto properties (Name, Email, Password, BillingAddress, PhoneNumber) are declared with getter-only auto-properties and set exclusively via the constructor. ASP.NET Core model binding cannot inject additional fields beyond the defined constructor parameters.</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</si>
  <si>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</si>
  <si>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</si>
  <si>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</si>
  <si>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</si>
  <si>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C# is a statically typed language. All variable types are enforced at compile time. String comparisons in EF Core LINQ queries use == which maps to value equality. No loose/dynamic typing or JavaScript-style implicit coercion is present.</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</si>
  <si>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</si>
  <si>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</si>
  <si>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</si>
  <si>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</si>
  <si>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</si>
  <si>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</si>
  <si>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</si>
  <si>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</si>
  <si>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</si>
  <si>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</si>
  <si>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</si>
  <si>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</si>
  <si>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</si>
  <si>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</si>
  <si>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</si>
  <si>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</si>
  <si>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</si>
  <si>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</si>
  <si>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[Sprint 2 – RF04] A logging inventory documenting what is logged at each layer, log formats, storage locations, access controls, and retention periods is required. RF04 introduces the audit log functionality, but the formal inventory document has not yet been produced.</t>
  </si>
  <si>
    <t>V16.2</t>
  </si>
  <si>
    <t>General Logging</t>
  </si>
  <si>
    <t>V16.2.1</t>
  </si>
  <si>
    <t>Verify that each log entry includes necessary metadata (such as when, where, who, what) that would allow for a detailed investigation of the timeline when an event happens.</t>
  </si>
  <si>
    <t>[Sprint 2 – RF04] Each audit log entry must include the timestamp, source component, actor identity, and the action performed to support forensic investigation. Log schema design is in progress.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</si>
  <si>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</si>
  <si>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</si>
  <si>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[Sprint 2 – RF04] All logging components must use a synchronized time source and record timestamps in UTC. Time synchronization configuration has not yet been verified.</t>
  </si>
  <si>
    <t>V16.2.3</t>
  </si>
  <si>
    <t>Verify that the application only stores or broadcasts logs to the files and services that are documented in the log inventory.</t>
  </si>
  <si>
    <t>[Sprint 2 – RF04] The application must write logs only to the destinations defined in the logging inventory. Log routing configuration review is pending.</t>
  </si>
  <si>
    <t>V16.2.4</t>
  </si>
  <si>
    <t>Verify that logs can be read and correlated by the log processor that is in use, preferably by using a common logging format.</t>
  </si>
  <si>
    <t>[Sprint 2 – RF04] Log output must use a structured, machine-readable format (e.g., JSON) compatible with the designated log processor. Format standardization is pending.</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</si>
  <si>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</si>
  <si>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</si>
  <si>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[Sprint 2 – RF04] Sensitive fields (e.g., passwords, tokens) must never appear in logs; other sensitive fields (e.g., session IDs) must be masked or hashed. Log sanitization controls are pending.</t>
  </si>
  <si>
    <t>V16.3</t>
  </si>
  <si>
    <t>Security Events</t>
  </si>
  <si>
    <t>V16.3.1</t>
  </si>
  <si>
    <t>Verify that all authentication operations are logged, including successful and unsuccessful attempts. Additional metadata, such as the type of authentication or factors used, should also be collected.</t>
  </si>
  <si>
    <t>LoginController injects ILogger&lt;LoginController&gt; but makes no explicit logging calls for successful or failed authentication attempts. Auth events are not recorded in any log destination. Default ASP.NET request logging does not include authentication outcome details.</t>
  </si>
  <si>
    <t>V16.3.2</t>
  </si>
  <si>
    <t>Verify that failed authorization attempts are logged. For L3, this must include logging all authorization decisions, including logging when sensitive data is accessed (without logging the sensitive data itself).</t>
  </si>
  <si>
    <t>[Sprint 2 – RF04] All failed authorization attempts must be logged, including the resource, actor, and outcome. Logging of authorization failures has not yet been verified.</t>
  </si>
  <si>
    <t>V16.3.3</t>
  </si>
  <si>
    <t>Verify that the application logs the security events that are defined in the documentation and also logs attempts to bypass the security controls, such as input validation, business logic, and anti-automation.</t>
  </si>
  <si>
    <t>[Sprint 2 – RF04] The application must log defined security events (e.g., input validation failures, rate limit breaches) and attempts to bypass security controls. Event catalog and log statements are pending.</t>
  </si>
  <si>
    <t>V16.3.4</t>
  </si>
  <si>
    <t>Verify that the application logs unexpected errors and security control failures such as backend TLS failures.</t>
  </si>
  <si>
    <t>[Sprint 2 – RF04] All unhandled exceptions, backend TLS failures, and security control failures must be logged. Error-logging coverage review is pending.</t>
  </si>
  <si>
    <t>V16.4</t>
  </si>
  <si>
    <t>Log Protection</t>
  </si>
  <si>
    <t>V16.4.1</t>
  </si>
  <si>
    <t>Verify that all logging components appropriately encode data to prevent log injection.</t>
  </si>
  <si>
    <t>[Sprint 2 – RF04] All data written to logs must be encoded/escaped to prevent log injection attacks. Log encoding implementation has not yet been verified.</t>
  </si>
  <si>
    <t>V16.4.2</t>
  </si>
  <si>
    <t>Verify that logs are protected from unauthorized access and cannot be modified.</t>
  </si>
  <si>
    <t>[Sprint 2 – RF04] Access to log storage must be restricted to authorized principals only, and logs must be immutable or append-only. Access control configuration for the audit log store is pending.</t>
  </si>
  <si>
    <t>V16.4.3</t>
  </si>
  <si>
    <t>Verify that logs are securely transmitted to a logically separate system for analysis, detection, alerting, and escalation. The aim is to ensure that if the application is breached, the logs are not compromised.</t>
  </si>
  <si>
    <t>[Sprint 2 – RF04] Logs must be forwarded in real time or near-real time to a logically separate system (e.g., a SIEM or centralized log store) so that a compromise of the application server does not destroy audit evidence. Log forwarding setup is pending.</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</si>
  <si>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</si>
  <si>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</si>
  <si>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</si>
  <si>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</si>
  <si>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[Sprint 2] The API must return generic error messages to consumers without exposing stack traces, SQL queries, internal paths, or secret material. Error-handling middleware review is pending.</t>
  </si>
  <si>
    <t>V16.5.2</t>
  </si>
  <si>
    <t>Verify that the application continues to operate securely when external resource access fails, for example, by using patterns such as circuit breakers or graceful degradation.</t>
  </si>
  <si>
    <t>[Sprint 2] The application must degrade gracefully (e.g., via circuit breakers or fallback responses) when external dependencies such as the database or file store are unavailable. Resilience patterns have not yet been implemented or verified.</t>
  </si>
  <si>
    <t>V16.5.3</t>
  </si>
  <si>
    <t>Verify that the application fails gracefully and securely, including when an exception occurs, preventing fail-open conditions such as processing a transaction despite errors resulting from validation logic.</t>
  </si>
  <si>
    <t>[Sprint 2] Exceptions must not cause fail-open conditions (e.g., completing a transaction despite a validation error). Secure failure behaviour of all critical flows is pending verification.</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</si>
  <si>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</si>
  <si>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</si>
  <si>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</si>
  <si>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</si>
  <si>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</si>
  <si>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</si>
  <si>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</si>
  <si>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</si>
  <si>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</si>
  <si>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</si>
  <si>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</si>
  <si>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</si>
  <si>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</si>
  <si>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</si>
  <si>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</si>
  <si>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</si>
  <si>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</si>
  <si>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</si>
  <si>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</si>
  <si>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</si>
  <si>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</si>
  <si>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</si>
  <si>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</si>
  <si>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</si>
  <si>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</si>
  <si>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</si>
  <si>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</si>
  <si>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</si>
  <si>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</si>
  <si>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</si>
  <si>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</si>
  <si>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</si>
  <si>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OWASP ZAP to ASVS Requirements Traceability Matrix</t>
  </si>
  <si>
    <t>ZAP Finding</t>
  </si>
  <si>
    <t>Risk Level</t>
  </si>
  <si>
    <t>Report Type</t>
  </si>
  <si>
    <t>Instances</t>
  </si>
  <si>
    <t>Related ASVS Requirements</t>
  </si>
  <si>
    <t>Testing Evidence</t>
  </si>
  <si>
    <t>Storable and Cacheable Content</t>
  </si>
  <si>
    <t>Informational</t>
  </si>
  <si>
    <t>Baseline</t>
  </si>
  <si>
    <t>1</t>
  </si>
  <si>
    <t>V3.4.1, V7.1.1</t>
  </si>
  <si>
    <t>OWASP ZAP detected cacheable content. Review caching headers for sensitive data.</t>
  </si>
  <si>
    <t>HTTP Only Site</t>
  </si>
  <si>
    <t>Medium</t>
  </si>
  <si>
    <t>Active</t>
  </si>
  <si>
    <t>V12.3.1, V12.3.2</t>
  </si>
  <si>
    <t>OWASP ZAP Active Scan detected application accessible over HTTP without HTTPS enforcement. Medium risk.</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</si>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</sst>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charset val="1"/>
    </font>
    <font>
      <b/>
      <sz val="16"/>
      <color rgb="FF4472C4"/>
      <name val="Cambria"/>
      <charset val="1"/>
    </font>
    <font>
      <sz val="11"/>
      <name val="Cambria"/>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b/>
      <sz val="14"/>
      <name val="Cambria"/>
      <charset val="1"/>
    </font>
  </fonts>
  <fills count="11">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FF4472C4"/>
        <bgColor rgb="FF0066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3" fillId="2" borderId="0" xfId="0" applyFont="1" applyFill="1" applyAlignment="1">
      <alignment horizontal="center" vertical="center"/>
    </xf>
    <xf numFmtId="0" fontId="4" fillId="0" borderId="0" xfId="0" applyFont="1" applyAlignment="1">
      <alignment horizontal="center" vertical="center"/>
    </xf>
    <xf numFmtId="0" fontId="5" fillId="0" borderId="0" xfId="0" applyFont="1"/>
    <xf numFmtId="0" fontId="6" fillId="0" borderId="0" xfId="0" applyFont="1" applyAlignment="1">
      <alignment horizontal="center" vertical="center"/>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9" fontId="8" fillId="3" borderId="1" xfId="0" applyNumberFormat="1" applyFont="1" applyFill="1" applyBorder="1" applyAlignment="1">
      <alignment horizontal="center" vertical="center"/>
    </xf>
    <xf numFmtId="0" fontId="8" fillId="4" borderId="1" xfId="0" applyFont="1" applyFill="1" applyBorder="1" applyAlignment="1">
      <alignment horizontal="left" vertical="center"/>
    </xf>
    <xf numFmtId="0" fontId="8" fillId="4" borderId="1" xfId="0" applyFont="1" applyFill="1" applyBorder="1" applyAlignment="1">
      <alignment horizontal="center" vertical="center"/>
    </xf>
    <xf numFmtId="9" fontId="8" fillId="4" borderId="1" xfId="0" applyNumberFormat="1" applyFont="1" applyFill="1" applyBorder="1" applyAlignment="1">
      <alignment horizontal="center" vertical="center"/>
    </xf>
    <xf numFmtId="0" fontId="9" fillId="2" borderId="1" xfId="0" applyFont="1" applyFill="1" applyBorder="1"/>
    <xf numFmtId="0" fontId="10" fillId="2" borderId="1" xfId="0" applyFont="1" applyFill="1" applyBorder="1" applyAlignment="1">
      <alignment horizontal="center" vertical="center"/>
    </xf>
    <xf numFmtId="9"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0" fontId="11"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5"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5" fillId="8" borderId="1" xfId="0" applyFont="1" applyFill="1" applyBorder="1" applyAlignment="1">
      <alignment horizontal="center" vertical="top"/>
    </xf>
    <xf numFmtId="0" fontId="5" fillId="9" borderId="1" xfId="0" applyFont="1"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vertical="top" wrapText="1"/>
    </xf>
    <xf numFmtId="0" fontId="9" fillId="10" borderId="2" xfId="0" applyFont="1" applyFill="1" applyBorder="1" applyAlignment="1">
      <alignment horizontal="center" vertical="center" wrapText="1"/>
    </xf>
    <xf numFmtId="0" fontId="0" fillId="0" borderId="2" xfId="0" applyBorder="1"/>
    <xf numFmtId="0" fontId="0" fillId="0" borderId="2" xfId="0" applyBorder="1" applyAlignment="1">
      <alignment vertical="top" wrapText="1"/>
    </xf>
    <xf numFmtId="0" fontId="1" fillId="0" borderId="0" xfId="0" applyFont="1"/>
    <xf numFmtId="0" fontId="0" fillId="0" borderId="0" xfId="0"/>
    <xf numFmtId="0" fontId="2" fillId="0" borderId="0" xfId="0" applyFont="1"/>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4472C4"/>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0"/>
        <c:ser>
          <c:idx val="0"/>
          <c:order val="0"/>
          <c:tx>
            <c:strRef>
              <c:f>Summary!$E$5</c:f>
              <c:strCache>
                <c:ptCount val="1"/>
              </c:strCache>
            </c:strRef>
          </c:tx>
          <c:spPr>
            <a:solidFill>
              <a:srgbClr val="C6EFCE"/>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Summary!$E$6:$E$22</c:f>
              <c:numCache>
                <c:formatCode>General</c:formatCode>
                <c:ptCount val="17"/>
                <c:pt idx="2">
                  <c:v>0</c:v>
                </c:pt>
                <c:pt idx="3" formatCode="0%">
                  <c:v>0</c:v>
                </c:pt>
                <c:pt idx="4" formatCode="0%">
                  <c:v>0</c:v>
                </c:pt>
                <c:pt idx="5" formatCode="0%">
                  <c:v>0</c:v>
                </c:pt>
                <c:pt idx="6" formatCode="0%">
                  <c:v>0.125</c:v>
                </c:pt>
                <c:pt idx="7" formatCode="0%">
                  <c:v>0</c:v>
                </c:pt>
                <c:pt idx="8" formatCode="0%">
                  <c:v>0</c:v>
                </c:pt>
                <c:pt idx="9" formatCode="0%">
                  <c:v>0.5</c:v>
                </c:pt>
                <c:pt idx="10" formatCode="0%">
                  <c:v>0</c:v>
                </c:pt>
                <c:pt idx="11" formatCode="0%">
                  <c:v>0.30769230769230771</c:v>
                </c:pt>
                <c:pt idx="12" formatCode="0%">
                  <c:v>0.33333333333333331</c:v>
                </c:pt>
                <c:pt idx="13" formatCode="0%">
                  <c:v>0</c:v>
                </c:pt>
                <c:pt idx="14" formatCode="0%">
                  <c:v>0.75</c:v>
                </c:pt>
                <c:pt idx="15" formatCode="0%">
                  <c:v>0</c:v>
                </c:pt>
                <c:pt idx="16" formatCode="0%">
                  <c:v>0.66666666666666663</c:v>
                </c:pt>
              </c:numCache>
            </c:numRef>
          </c:val>
          <c:extLst>
            <c:ext xmlns:c16="http://schemas.microsoft.com/office/drawing/2014/chart" uri="{C3380CC4-5D6E-409C-BE32-E72D297353CC}">
              <c16:uniqueId val="{00000000-2B54-BC45-9956-167DC05CA5BD}"/>
            </c:ext>
          </c:extLst>
        </c:ser>
        <c:ser>
          <c:idx val="1"/>
          <c:order val="1"/>
          <c:tx>
            <c:strRef>
              <c:f>Summary!$H$5</c:f>
              <c:strCache>
                <c:ptCount val="1"/>
              </c:strCache>
            </c:strRef>
          </c:tx>
          <c:spPr>
            <a:solidFill>
              <a:srgbClr val="FFEB9C"/>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Summary!$H$6:$H$22</c:f>
              <c:numCache>
                <c:formatCode>General</c:formatCode>
                <c:ptCount val="17"/>
                <c:pt idx="2">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4.5454545454545456E-2</c:v>
                </c:pt>
                <c:pt idx="12" formatCode="0%">
                  <c:v>0</c:v>
                </c:pt>
                <c:pt idx="13" formatCode="0%">
                  <c:v>0</c:v>
                </c:pt>
                <c:pt idx="14" formatCode="0%">
                  <c:v>0.66666666666666663</c:v>
                </c:pt>
                <c:pt idx="15" formatCode="0%">
                  <c:v>0</c:v>
                </c:pt>
                <c:pt idx="16" formatCode="0%">
                  <c:v>0.27272727272727271</c:v>
                </c:pt>
              </c:numCache>
            </c:numRef>
          </c:val>
          <c:extLst>
            <c:ext xmlns:c16="http://schemas.microsoft.com/office/drawing/2014/chart" uri="{C3380CC4-5D6E-409C-BE32-E72D297353CC}">
              <c16:uniqueId val="{00000001-2B54-BC45-9956-167DC05CA5BD}"/>
            </c:ext>
          </c:extLst>
        </c:ser>
        <c:ser>
          <c:idx val="2"/>
          <c:order val="2"/>
          <c:tx>
            <c:strRef>
              <c:f>Summary!$K$5</c:f>
              <c:strCache>
                <c:ptCount val="1"/>
              </c:strCache>
            </c:strRef>
          </c:tx>
          <c:spPr>
            <a:solidFill>
              <a:srgbClr val="FABF8F"/>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Summary!$K$6:$K$21</c:f>
              <c:numCache>
                <c:formatCode>General</c:formatCode>
                <c:ptCount val="16"/>
                <c:pt idx="2">
                  <c:v>0</c:v>
                </c:pt>
                <c:pt idx="3" formatCode="0%">
                  <c:v>0</c:v>
                </c:pt>
                <c:pt idx="4" formatCode="0%">
                  <c:v>0</c:v>
                </c:pt>
                <c:pt idx="5" formatCode="0%">
                  <c:v>0</c:v>
                </c:pt>
                <c:pt idx="6" formatCode="0%">
                  <c:v>0</c:v>
                </c:pt>
                <c:pt idx="7" formatCode="0%">
                  <c:v>0</c:v>
                </c:pt>
                <c:pt idx="8" formatCode="0%">
                  <c:v>0</c:v>
                </c:pt>
                <c:pt idx="9" formatCode="0%">
                  <c:v>0</c:v>
                </c:pt>
                <c:pt idx="10" formatCode="0%">
                  <c:v>0</c:v>
                </c:pt>
                <c:pt idx="11">
                  <c:v>0</c:v>
                </c:pt>
                <c:pt idx="12" formatCode="0%">
                  <c:v>0</c:v>
                </c:pt>
                <c:pt idx="13" formatCode="0%">
                  <c:v>0</c:v>
                </c:pt>
                <c:pt idx="14" formatCode="0%">
                  <c:v>0</c:v>
                </c:pt>
                <c:pt idx="15" formatCode="0%">
                  <c:v>0</c:v>
                </c:pt>
              </c:numCache>
            </c:numRef>
          </c:val>
          <c:extLst>
            <c:ext xmlns:c16="http://schemas.microsoft.com/office/drawing/2014/chart" uri="{C3380CC4-5D6E-409C-BE32-E72D297353CC}">
              <c16:uniqueId val="{00000002-2B54-BC45-9956-167DC05CA5BD}"/>
            </c:ext>
          </c:extLst>
        </c:ser>
        <c:ser>
          <c:idx val="3"/>
          <c:order val="3"/>
          <c:tx>
            <c:strRef>
              <c:f>Summary!$M$5</c:f>
              <c:strCache>
                <c:ptCount val="1"/>
              </c:strCache>
            </c:strRef>
          </c:tx>
          <c:spPr>
            <a:solidFill>
              <a:srgbClr val="579D1C"/>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2">
                  <c:v>Chapter</c:v>
                </c:pt>
                <c:pt idx="3">
                  <c:v>V1 – Encoding and Sanitization</c:v>
                </c:pt>
                <c:pt idx="4">
                  <c:v>V2 – Validation and Business Logic</c:v>
                </c:pt>
                <c:pt idx="5">
                  <c:v>V3 – Web Frontend Security</c:v>
                </c:pt>
                <c:pt idx="6">
                  <c:v>V4 – API and Web Service</c:v>
                </c:pt>
                <c:pt idx="7">
                  <c:v>V5 – File Handling</c:v>
                </c:pt>
                <c:pt idx="8">
                  <c:v>V6 – Authentication</c:v>
                </c:pt>
                <c:pt idx="9">
                  <c:v>V7 – Session Management</c:v>
                </c:pt>
                <c:pt idx="10">
                  <c:v>V8 – Authorization</c:v>
                </c:pt>
                <c:pt idx="11">
                  <c:v>V9 – Self-contained Tokens</c:v>
                </c:pt>
                <c:pt idx="12">
                  <c:v>V10 – OAuth and OIDC</c:v>
                </c:pt>
                <c:pt idx="13">
                  <c:v>V11 – Cryptography</c:v>
                </c:pt>
                <c:pt idx="14">
                  <c:v>V12 – Secure Communication</c:v>
                </c:pt>
                <c:pt idx="15">
                  <c:v>V13 – Configuration</c:v>
                </c:pt>
                <c:pt idx="16">
                  <c:v>V14 – Data Protection</c:v>
                </c:pt>
              </c:strCache>
            </c:strRef>
          </c:cat>
          <c:val>
            <c:numRef>
              <c:f>Summary!$M$6:$M$22</c:f>
              <c:numCache>
                <c:formatCode>General</c:formatCode>
                <c:ptCount val="17"/>
                <c:pt idx="2">
                  <c:v>0</c:v>
                </c:pt>
                <c:pt idx="3" formatCode="0%">
                  <c:v>0</c:v>
                </c:pt>
                <c:pt idx="4" formatCode="0%">
                  <c:v>0</c:v>
                </c:pt>
                <c:pt idx="5" formatCode="0%">
                  <c:v>0</c:v>
                </c:pt>
                <c:pt idx="6" formatCode="0%">
                  <c:v>3.3333333333333333E-2</c:v>
                </c:pt>
                <c:pt idx="7" formatCode="0%">
                  <c:v>0</c:v>
                </c:pt>
                <c:pt idx="8" formatCode="0%">
                  <c:v>0</c:v>
                </c:pt>
                <c:pt idx="9" formatCode="0%">
                  <c:v>6.25E-2</c:v>
                </c:pt>
                <c:pt idx="10" formatCode="0%">
                  <c:v>0</c:v>
                </c:pt>
                <c:pt idx="11" formatCode="0%">
                  <c:v>0.10638297872340426</c:v>
                </c:pt>
                <c:pt idx="12" formatCode="0%">
                  <c:v>0.10526315789473684</c:v>
                </c:pt>
                <c:pt idx="13" formatCode="0%">
                  <c:v>0</c:v>
                </c:pt>
                <c:pt idx="14" formatCode="0%">
                  <c:v>0.7142857142857143</c:v>
                </c:pt>
                <c:pt idx="15" formatCode="0%">
                  <c:v>0</c:v>
                </c:pt>
                <c:pt idx="16" formatCode="0%">
                  <c:v>0.20833333333333334</c:v>
                </c:pt>
              </c:numCache>
            </c:numRef>
          </c:val>
          <c:extLst>
            <c:ext xmlns:c16="http://schemas.microsoft.com/office/drawing/2014/chart" uri="{C3380CC4-5D6E-409C-BE32-E72D297353CC}">
              <c16:uniqueId val="{00000003-2B54-BC45-9956-167DC05CA5BD}"/>
            </c:ext>
          </c:extLst>
        </c:ser>
        <c:dLbls>
          <c:showLegendKey val="0"/>
          <c:showVal val="0"/>
          <c:showCatName val="0"/>
          <c:showSerName val="0"/>
          <c:showPercent val="0"/>
          <c:showBubbleSize val="0"/>
        </c:dLbls>
        <c:gapWidth val="100"/>
        <c:axId val="39400609"/>
        <c:axId val="68229045"/>
      </c:barChart>
      <c:catAx>
        <c:axId val="39400609"/>
        <c:scaling>
          <c:orientation val="minMax"/>
        </c:scaling>
        <c:delete val="0"/>
        <c:axPos val="l"/>
        <c:numFmt formatCode="General" sourceLinked="0"/>
        <c:majorTickMark val="out"/>
        <c:minorTickMark val="none"/>
        <c:tickLblPos val="nextTo"/>
        <c:spPr>
          <a:ln w="9360">
            <a:solidFill>
              <a:srgbClr val="B3B3B3"/>
            </a:solidFill>
            <a:prstDash val="solid"/>
            <a:round/>
          </a:ln>
        </c:spPr>
        <c:txPr>
          <a:bodyPr/>
          <a:lstStyle/>
          <a:p>
            <a:pPr>
              <a:defRPr sz="1000" b="0" strike="noStrike" spc="-1">
                <a:solidFill>
                  <a:srgbClr val="000000"/>
                </a:solidFill>
                <a:latin typeface="Arial"/>
              </a:defRPr>
            </a:pPr>
            <a:endParaRPr lang="en-US"/>
          </a:p>
        </c:txPr>
        <c:crossAx val="68229045"/>
        <c:crosses val="autoZero"/>
        <c:auto val="1"/>
        <c:lblAlgn val="ctr"/>
        <c:lblOffset val="100"/>
        <c:noMultiLvlLbl val="0"/>
      </c:catAx>
      <c:valAx>
        <c:axId val="68229045"/>
        <c:scaling>
          <c:orientation val="minMax"/>
        </c:scaling>
        <c:delete val="0"/>
        <c:axPos val="b"/>
        <c:majorGridlines>
          <c:spPr>
            <a:ln w="9360">
              <a:solidFill>
                <a:srgbClr val="B3B3B3"/>
              </a:solidFill>
              <a:prstDash val="solid"/>
              <a:round/>
            </a:ln>
          </c:spPr>
        </c:majorGridlines>
        <c:numFmt formatCode="0%" sourceLinked="0"/>
        <c:majorTickMark val="out"/>
        <c:minorTickMark val="none"/>
        <c:tickLblPos val="nextTo"/>
        <c:spPr>
          <a:ln w="9360">
            <a:solidFill>
              <a:srgbClr val="B3B3B3"/>
            </a:solidFill>
            <a:prstDash val="solid"/>
            <a:round/>
          </a:ln>
        </c:spPr>
        <c:txPr>
          <a:bodyPr/>
          <a:lstStyle/>
          <a:p>
            <a:pPr>
              <a:defRPr sz="1000" b="0" strike="noStrike" spc="-1">
                <a:solidFill>
                  <a:srgbClr val="000000"/>
                </a:solidFill>
                <a:latin typeface="Arial"/>
              </a:defRPr>
            </a:pPr>
            <a:endParaRPr lang="en-US"/>
          </a:p>
        </c:txPr>
        <c:crossAx val="39400609"/>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Arial"/>
            </a:defRPr>
          </a:pPr>
          <a:endParaRPr lang="en-US"/>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56813</xdr:rowOff>
    </xdr:from>
    <xdr:to>
      <xdr:col>13</xdr:col>
      <xdr:colOff>42840</xdr:colOff>
      <xdr:row>49</xdr:row>
      <xdr:rowOff>102533</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showGridLines="0" tabSelected="1" zoomScale="75" zoomScaleNormal="75" workbookViewId="0">
      <selection activeCell="S27" sqref="S27"/>
    </sheetView>
  </sheetViews>
  <sheetFormatPr baseColWidth="10" defaultColWidth="8.5" defaultRowHeight="15" x14ac:dyDescent="0.2"/>
  <cols>
    <col min="1" max="1" width="34" customWidth="1"/>
    <col min="2" max="13" width="11" customWidth="1"/>
  </cols>
  <sheetData>
    <row r="1" spans="1:16" ht="36" customHeight="1" x14ac:dyDescent="0.25">
      <c r="A1" s="32" t="s">
        <v>0</v>
      </c>
      <c r="B1" s="33"/>
      <c r="C1" s="33"/>
      <c r="D1" s="33"/>
      <c r="E1" s="33"/>
      <c r="F1" s="33"/>
      <c r="G1" s="33"/>
      <c r="H1" s="33"/>
      <c r="I1" s="33"/>
      <c r="J1" s="33"/>
      <c r="K1" s="33"/>
      <c r="L1" s="33"/>
      <c r="M1" s="33"/>
      <c r="N1" s="33"/>
      <c r="O1" s="33"/>
      <c r="P1" s="33"/>
    </row>
    <row r="2" spans="1:16" ht="19.5" customHeight="1" x14ac:dyDescent="0.2">
      <c r="A2" s="34" t="s">
        <v>1</v>
      </c>
      <c r="B2" s="33"/>
      <c r="C2" s="33"/>
      <c r="D2" s="33"/>
      <c r="E2" s="33"/>
      <c r="F2" s="33"/>
      <c r="G2" s="33"/>
      <c r="H2" s="33"/>
      <c r="I2" s="33"/>
      <c r="J2" s="33"/>
      <c r="K2" s="33"/>
      <c r="L2" s="33"/>
      <c r="M2" s="33"/>
      <c r="N2" s="33"/>
      <c r="O2" s="33"/>
      <c r="P2" s="33"/>
    </row>
    <row r="3" spans="1:16" ht="18" customHeight="1" x14ac:dyDescent="0.2">
      <c r="A3" s="34" t="s">
        <v>2</v>
      </c>
      <c r="B3" s="33"/>
    </row>
    <row r="4" spans="1:16" ht="19.5" customHeight="1" x14ac:dyDescent="0.2">
      <c r="A4" s="1" t="s">
        <v>3</v>
      </c>
    </row>
    <row r="5" spans="1:16" ht="31.5" customHeight="1" x14ac:dyDescent="0.2">
      <c r="A5" s="2"/>
    </row>
    <row r="6" spans="1:16" ht="18" customHeight="1" x14ac:dyDescent="0.2">
      <c r="A6" s="3"/>
      <c r="C6" s="4"/>
      <c r="E6" s="4"/>
      <c r="G6" s="4"/>
      <c r="I6" s="4"/>
      <c r="K6" s="4"/>
      <c r="M6" s="4"/>
      <c r="O6" s="4"/>
    </row>
    <row r="7" spans="1:16" ht="18" customHeight="1" x14ac:dyDescent="0.2"/>
    <row r="8" spans="1:16" ht="18" customHeight="1" x14ac:dyDescent="0.2">
      <c r="A8" s="5" t="s">
        <v>4</v>
      </c>
      <c r="B8" s="5" t="s">
        <v>5</v>
      </c>
      <c r="C8" s="5" t="s">
        <v>6</v>
      </c>
      <c r="D8" s="5" t="s">
        <v>7</v>
      </c>
      <c r="E8" s="5" t="s">
        <v>8</v>
      </c>
      <c r="F8" s="5" t="s">
        <v>9</v>
      </c>
      <c r="G8" s="5" t="s">
        <v>10</v>
      </c>
      <c r="H8" s="5" t="s">
        <v>11</v>
      </c>
      <c r="I8" s="5" t="s">
        <v>12</v>
      </c>
      <c r="J8" s="5" t="s">
        <v>13</v>
      </c>
      <c r="K8" s="5" t="s">
        <v>14</v>
      </c>
      <c r="L8" s="5" t="s">
        <v>15</v>
      </c>
      <c r="M8" s="5" t="s">
        <v>16</v>
      </c>
    </row>
    <row r="9" spans="1:16" ht="18" customHeight="1" x14ac:dyDescent="0.2">
      <c r="A9" s="6" t="s">
        <v>17</v>
      </c>
      <c r="B9" s="7">
        <v>30</v>
      </c>
      <c r="C9" s="7">
        <v>8</v>
      </c>
      <c r="D9" s="7">
        <f>COUNTIFS('V1 - Encoding and Sanitization'!$F$2:$F$36,"Compliant",'V1 - Encoding and Sanitization'!$E$2:$E$36,1)</f>
        <v>1</v>
      </c>
      <c r="E9" s="8" t="str">
        <f>IF(C6=0,"",D6/C6)</f>
        <v/>
      </c>
      <c r="F9" s="7">
        <v>19</v>
      </c>
      <c r="G9" s="7">
        <f>COUNTIFS('V1 - Encoding and Sanitization'!$F$2:$F$36,"Compliant",'V1 - Encoding and Sanitization'!$E$2:$E$36,2)</f>
        <v>0</v>
      </c>
      <c r="H9" s="8" t="str">
        <f>IF(F6=0,"",G6/F6)</f>
        <v/>
      </c>
      <c r="I9" s="7">
        <v>3</v>
      </c>
      <c r="J9" s="7">
        <f>COUNTIFS('V1 - Encoding and Sanitization'!$F$2:$F$36,"Compliant",'V1 - Encoding and Sanitization'!$E$2:$E$36,3)</f>
        <v>0</v>
      </c>
      <c r="K9" s="8" t="str">
        <f>IF(I6=0,"",J6/I6)</f>
        <v/>
      </c>
      <c r="L9" s="7">
        <f>COUNTIF('V1 - Encoding and Sanitization'!$F$2:$F$36,"Compliant")</f>
        <v>1</v>
      </c>
      <c r="M9" s="8" t="str">
        <f>IF(B6=0,"",L6/B6)</f>
        <v/>
      </c>
    </row>
    <row r="10" spans="1:16" ht="18" customHeight="1" x14ac:dyDescent="0.2">
      <c r="A10" s="9" t="s">
        <v>18</v>
      </c>
      <c r="B10" s="10">
        <v>13</v>
      </c>
      <c r="C10" s="10">
        <v>4</v>
      </c>
      <c r="D10" s="10">
        <f>COUNTIFS('V2 - Validation and Business Lo'!$F$2:$F$18,"Compliant",'V2 - Validation and Business Lo'!$E$2:$E$18,1)</f>
        <v>0</v>
      </c>
      <c r="E10" s="11" t="str">
        <f>IF(C7=0,"",D7/C7)</f>
        <v/>
      </c>
      <c r="F10" s="10">
        <v>7</v>
      </c>
      <c r="G10" s="10">
        <f>COUNTIFS('V2 - Validation and Business Lo'!$F$2:$F$18,"Compliant",'V2 - Validation and Business Lo'!$E$2:$E$18,2)</f>
        <v>0</v>
      </c>
      <c r="H10" s="11" t="str">
        <f>IF(F7=0,"",G7/F7)</f>
        <v/>
      </c>
      <c r="I10" s="10">
        <v>2</v>
      </c>
      <c r="J10" s="10">
        <f>COUNTIFS('V2 - Validation and Business Lo'!$F$2:$F$18,"Compliant",'V2 - Validation and Business Lo'!$E$2:$E$18,3)</f>
        <v>0</v>
      </c>
      <c r="K10" s="11" t="str">
        <f>IF(I7=0,"",J7/I7)</f>
        <v/>
      </c>
      <c r="L10" s="10">
        <f>COUNTIF('V2 - Validation and Business Lo'!$F$2:$F$18,"Compliant")</f>
        <v>0</v>
      </c>
      <c r="M10" s="11" t="str">
        <f>IF(B7=0,"",L7/B7)</f>
        <v/>
      </c>
    </row>
    <row r="11" spans="1:16" ht="18" customHeight="1" x14ac:dyDescent="0.2">
      <c r="A11" s="6" t="s">
        <v>19</v>
      </c>
      <c r="B11" s="7">
        <v>31</v>
      </c>
      <c r="C11" s="7">
        <v>8</v>
      </c>
      <c r="D11" s="7">
        <f>COUNTIFS('V3 - Web Frontend Security'!$F$2:$F$39,"Compliant",'V3 - Web Frontend Security'!$E$2:$E$39,1)</f>
        <v>0</v>
      </c>
      <c r="E11" s="8" t="s">
        <v>20</v>
      </c>
      <c r="F11" s="7">
        <v>11</v>
      </c>
      <c r="G11" s="7">
        <f>COUNTIFS('V3 - Web Frontend Security'!$F$2:$F$39,"Compliant",'V3 - Web Frontend Security'!$E$2:$E$39,2)</f>
        <v>0</v>
      </c>
      <c r="H11" s="8" t="s">
        <v>20</v>
      </c>
      <c r="I11" s="7">
        <v>12</v>
      </c>
      <c r="J11" s="7">
        <f>COUNTIFS('V3 - Web Frontend Security'!$F$2:$F$39,"Compliant",'V3 - Web Frontend Security'!$E$2:$E$39,3)</f>
        <v>0</v>
      </c>
      <c r="K11" s="8" t="s">
        <v>20</v>
      </c>
      <c r="L11" s="7">
        <f>COUNTIF('V3 - Web Frontend Security'!$F$2:$F$39,"Compliant")</f>
        <v>0</v>
      </c>
      <c r="M11" s="8" t="s">
        <v>20</v>
      </c>
    </row>
    <row r="12" spans="1:16" ht="18" customHeight="1" x14ac:dyDescent="0.2">
      <c r="A12" s="9" t="s">
        <v>21</v>
      </c>
      <c r="B12" s="10">
        <v>16</v>
      </c>
      <c r="C12" s="10">
        <v>2</v>
      </c>
      <c r="D12" s="10">
        <f>COUNTIFS('V4 - API and Web Service'!$F$2:$F$21,"Compliant",'V4 - API and Web Service'!$E$2:$E$21,1)</f>
        <v>1</v>
      </c>
      <c r="E12" s="11">
        <f t="shared" ref="E12:E23" si="0">IF(C9=0,"",D9/C9)</f>
        <v>0.125</v>
      </c>
      <c r="F12" s="10">
        <v>8</v>
      </c>
      <c r="G12" s="10">
        <f>COUNTIFS('V4 - API and Web Service'!$F$2:$F$21,"Compliant",'V4 - API and Web Service'!$E$2:$E$21,2)</f>
        <v>0</v>
      </c>
      <c r="H12" s="11">
        <f t="shared" ref="H12:H25" si="1">IF(F9=0,"",G9/F9)</f>
        <v>0</v>
      </c>
      <c r="I12" s="10">
        <v>6</v>
      </c>
      <c r="J12" s="10">
        <f>COUNTIFS('V4 - API and Web Service'!$F$2:$F$21,"Compliant",'V4 - API and Web Service'!$E$2:$E$21,3)</f>
        <v>0</v>
      </c>
      <c r="K12" s="11">
        <f>IF(I9=0,"",J9/I9)</f>
        <v>0</v>
      </c>
      <c r="L12" s="10">
        <f>COUNTIF('V4 - API and Web Service'!$F$2:$F$21,"Compliant")</f>
        <v>1</v>
      </c>
      <c r="M12" s="11">
        <f t="shared" ref="M12:M25" si="2">IF(B9=0,"",L9/B9)</f>
        <v>3.3333333333333333E-2</v>
      </c>
    </row>
    <row r="13" spans="1:16" ht="18" customHeight="1" x14ac:dyDescent="0.2">
      <c r="A13" s="6" t="s">
        <v>22</v>
      </c>
      <c r="B13" s="7">
        <v>13</v>
      </c>
      <c r="C13" s="7">
        <v>4</v>
      </c>
      <c r="D13" s="7">
        <f>COUNTIFS('V5 - File Handling'!$F$2:$F$18,"Compliant",'V5 - File Handling'!$E$2:$E$18,1)</f>
        <v>0</v>
      </c>
      <c r="E13" s="8">
        <f t="shared" si="0"/>
        <v>0</v>
      </c>
      <c r="F13" s="7">
        <v>5</v>
      </c>
      <c r="G13" s="7">
        <f>COUNTIFS('V5 - File Handling'!$F$2:$F$18,"Compliant",'V5 - File Handling'!$E$2:$E$18,2)</f>
        <v>0</v>
      </c>
      <c r="H13" s="8">
        <f t="shared" si="1"/>
        <v>0</v>
      </c>
      <c r="I13" s="7">
        <v>4</v>
      </c>
      <c r="J13" s="7">
        <f>COUNTIFS('V5 - File Handling'!$F$2:$F$18,"Compliant",'V5 - File Handling'!$E$2:$E$18,3)</f>
        <v>0</v>
      </c>
      <c r="K13" s="8">
        <f>IF(I10=0,"",J10/I10)</f>
        <v>0</v>
      </c>
      <c r="L13" s="7">
        <f>COUNTIF('V5 - File Handling'!$F$2:$F$18,"Compliant")</f>
        <v>0</v>
      </c>
      <c r="M13" s="8">
        <f t="shared" si="2"/>
        <v>0</v>
      </c>
    </row>
    <row r="14" spans="1:16" ht="18" customHeight="1" x14ac:dyDescent="0.2">
      <c r="A14" s="9" t="s">
        <v>23</v>
      </c>
      <c r="B14" s="10">
        <v>47</v>
      </c>
      <c r="C14" s="10">
        <v>13</v>
      </c>
      <c r="D14" s="10">
        <f>COUNTIFS('V6 - Authentication'!$F$2:$F$56,"Compliant",'V6 - Authentication'!$E$2:$E$56,1)</f>
        <v>4</v>
      </c>
      <c r="E14" s="11">
        <f t="shared" si="0"/>
        <v>0</v>
      </c>
      <c r="F14" s="10">
        <v>22</v>
      </c>
      <c r="G14" s="10">
        <f>COUNTIFS('V6 - Authentication'!$F$2:$F$56,"Compliant",'V6 - Authentication'!$E$2:$E$56,2)</f>
        <v>1</v>
      </c>
      <c r="H14" s="11">
        <f t="shared" si="1"/>
        <v>0</v>
      </c>
      <c r="I14" s="10">
        <v>12</v>
      </c>
      <c r="J14" s="10">
        <f>COUNTIFS('V6 - Authentication'!$F$2:$F$56,"Compliant",'V6 - Authentication'!$E$2:$E$56,3)</f>
        <v>0</v>
      </c>
      <c r="K14" s="11">
        <f>IF(I11=0,"",J11/I11)</f>
        <v>0</v>
      </c>
      <c r="L14" s="10">
        <f>COUNTIF('V6 - Authentication'!$F$2:$F$56,"Compliant")</f>
        <v>5</v>
      </c>
      <c r="M14" s="11">
        <f t="shared" si="2"/>
        <v>0</v>
      </c>
    </row>
    <row r="15" spans="1:16" ht="18" customHeight="1" x14ac:dyDescent="0.2">
      <c r="A15" s="6" t="s">
        <v>24</v>
      </c>
      <c r="B15" s="7">
        <v>19</v>
      </c>
      <c r="C15" s="7">
        <v>6</v>
      </c>
      <c r="D15" s="7">
        <f>COUNTIFS('V7 - Session Management'!$F$2:$F$26,"Compliant",'V7 - Session Management'!$E$2:$E$26,1)</f>
        <v>2</v>
      </c>
      <c r="E15" s="8">
        <f t="shared" si="0"/>
        <v>0.5</v>
      </c>
      <c r="F15" s="7">
        <v>12</v>
      </c>
      <c r="G15" s="7">
        <f>COUNTIFS('V7 - Session Management'!$F$2:$F$26,"Compliant",'V7 - Session Management'!$E$2:$E$26,2)</f>
        <v>0</v>
      </c>
      <c r="H15" s="8">
        <f t="shared" si="1"/>
        <v>0</v>
      </c>
      <c r="I15" s="7">
        <v>1</v>
      </c>
      <c r="J15" s="7">
        <f>COUNTIFS('V7 - Session Management'!$F$2:$F$26,"Compliant",'V7 - Session Management'!$E$2:$E$26,3)</f>
        <v>0</v>
      </c>
      <c r="K15" s="8">
        <f>IF(I12=0,"",J12/I12)</f>
        <v>0</v>
      </c>
      <c r="L15" s="7">
        <f>COUNTIF('V7 - Session Management'!$F$2:$F$26,"Compliant")</f>
        <v>2</v>
      </c>
      <c r="M15" s="8">
        <f t="shared" si="2"/>
        <v>6.25E-2</v>
      </c>
    </row>
    <row r="16" spans="1:16" ht="18" customHeight="1" x14ac:dyDescent="0.2">
      <c r="A16" s="9" t="s">
        <v>25</v>
      </c>
      <c r="B16" s="10">
        <v>13</v>
      </c>
      <c r="C16" s="10">
        <v>4</v>
      </c>
      <c r="D16" s="10">
        <f>COUNTIFS('V8 - Authorization'!$F$2:$F$18,"Compliant",'V8 - Authorization'!$E$2:$E$18,1)</f>
        <v>0</v>
      </c>
      <c r="E16" s="11">
        <f t="shared" si="0"/>
        <v>0</v>
      </c>
      <c r="F16" s="10">
        <v>3</v>
      </c>
      <c r="G16" s="10">
        <f>COUNTIFS('V8 - Authorization'!$F$2:$F$18,"Compliant",'V8 - Authorization'!$E$2:$E$18,2)</f>
        <v>0</v>
      </c>
      <c r="H16" s="11">
        <f t="shared" si="1"/>
        <v>0</v>
      </c>
      <c r="I16" s="10">
        <v>6</v>
      </c>
      <c r="J16" s="10">
        <f>COUNTIFS('V8 - Authorization'!$F$2:$F$18,"Compliant",'V8 - Authorization'!$E$2:$E$18,3)</f>
        <v>0</v>
      </c>
      <c r="K16" s="11">
        <f>IF(I13=0,"",J13/I13)</f>
        <v>0</v>
      </c>
      <c r="L16" s="10">
        <f>COUNTIF('V8 - Authorization'!$F$2:$F$18,"Compliant")</f>
        <v>0</v>
      </c>
      <c r="M16" s="11">
        <f t="shared" si="2"/>
        <v>0</v>
      </c>
    </row>
    <row r="17" spans="1:13" ht="18" customHeight="1" x14ac:dyDescent="0.2">
      <c r="A17" s="6" t="s">
        <v>26</v>
      </c>
      <c r="B17" s="7">
        <v>7</v>
      </c>
      <c r="C17" s="7">
        <v>4</v>
      </c>
      <c r="D17" s="7">
        <f>COUNTIFS('V9 - Self-contained Tokens'!$F$2:$F$10,"Compliant",'V9 - Self-contained Tokens'!$E$2:$E$10,1)</f>
        <v>3</v>
      </c>
      <c r="E17" s="8">
        <f t="shared" si="0"/>
        <v>0.30769230769230771</v>
      </c>
      <c r="F17" s="7">
        <v>3</v>
      </c>
      <c r="G17" s="7">
        <f>COUNTIFS('V9 - Self-contained Tokens'!$F$2:$F$10,"Compliant",'V9 - Self-contained Tokens'!$E$2:$E$10,2)</f>
        <v>2</v>
      </c>
      <c r="H17" s="8">
        <f t="shared" si="1"/>
        <v>4.5454545454545456E-2</v>
      </c>
      <c r="I17" s="7">
        <v>0</v>
      </c>
      <c r="J17" s="7" t="s">
        <v>27</v>
      </c>
      <c r="K17" s="7" t="s">
        <v>27</v>
      </c>
      <c r="L17" s="7">
        <f>COUNTIF('V9 - Self-contained Tokens'!$F$2:$F$10,"Compliant")</f>
        <v>5</v>
      </c>
      <c r="M17" s="8">
        <f t="shared" si="2"/>
        <v>0.10638297872340426</v>
      </c>
    </row>
    <row r="18" spans="1:13" ht="18" customHeight="1" x14ac:dyDescent="0.2">
      <c r="A18" s="9" t="s">
        <v>28</v>
      </c>
      <c r="B18" s="10">
        <v>36</v>
      </c>
      <c r="C18" s="10">
        <v>5</v>
      </c>
      <c r="D18" s="10">
        <f>COUNTIFS('V10 - OAuth and OIDC'!$F$2:$F$44,"Compliant",'V10 - OAuth and OIDC'!$E$2:$E$44,1)</f>
        <v>0</v>
      </c>
      <c r="E18" s="11">
        <f t="shared" si="0"/>
        <v>0.33333333333333331</v>
      </c>
      <c r="F18" s="10">
        <v>24</v>
      </c>
      <c r="G18" s="10">
        <f>COUNTIFS('V10 - OAuth and OIDC'!$F$2:$F$44,"Compliant",'V10 - OAuth and OIDC'!$E$2:$E$44,2)</f>
        <v>0</v>
      </c>
      <c r="H18" s="11">
        <f t="shared" si="1"/>
        <v>0</v>
      </c>
      <c r="I18" s="10">
        <v>7</v>
      </c>
      <c r="J18" s="10">
        <f>COUNTIFS('V10 - OAuth and OIDC'!$F$2:$F$44,"Compliant",'V10 - OAuth and OIDC'!$E$2:$E$44,3)</f>
        <v>0</v>
      </c>
      <c r="K18" s="11">
        <f t="shared" ref="K18:K25" si="3">IF(I15=0,"",J15/I15)</f>
        <v>0</v>
      </c>
      <c r="L18" s="10">
        <f>COUNTIF('V10 - OAuth and OIDC'!$F$2:$F$44,"Compliant")</f>
        <v>0</v>
      </c>
      <c r="M18" s="11">
        <f t="shared" si="2"/>
        <v>0.10526315789473684</v>
      </c>
    </row>
    <row r="19" spans="1:13" ht="18" customHeight="1" x14ac:dyDescent="0.2">
      <c r="A19" s="6" t="s">
        <v>29</v>
      </c>
      <c r="B19" s="7">
        <v>24</v>
      </c>
      <c r="C19" s="7">
        <v>3</v>
      </c>
      <c r="D19" s="7">
        <f>COUNTIFS('V11 - Cryptography'!$F$2:$F$32,"Compliant",'V11 - Cryptography'!$E$2:$E$32,1)</f>
        <v>2</v>
      </c>
      <c r="E19" s="8">
        <f t="shared" si="0"/>
        <v>0</v>
      </c>
      <c r="F19" s="7">
        <v>11</v>
      </c>
      <c r="G19" s="7">
        <f>COUNTIFS('V11 - Cryptography'!$F$2:$F$32,"Compliant",'V11 - Cryptography'!$E$2:$E$32,2)</f>
        <v>3</v>
      </c>
      <c r="H19" s="8">
        <f t="shared" si="1"/>
        <v>0</v>
      </c>
      <c r="I19" s="7">
        <v>10</v>
      </c>
      <c r="J19" s="7">
        <f>COUNTIFS('V11 - Cryptography'!$F$2:$F$32,"Compliant",'V11 - Cryptography'!$E$2:$E$32,3)</f>
        <v>0</v>
      </c>
      <c r="K19" s="8">
        <f t="shared" si="3"/>
        <v>0</v>
      </c>
      <c r="L19" s="7">
        <f>COUNTIF('V11 - Cryptography'!$F$2:$F$32,"Compliant")</f>
        <v>5</v>
      </c>
      <c r="M19" s="8">
        <f t="shared" si="2"/>
        <v>0</v>
      </c>
    </row>
    <row r="20" spans="1:13" ht="18" customHeight="1" x14ac:dyDescent="0.2">
      <c r="A20" s="9" t="s">
        <v>30</v>
      </c>
      <c r="B20" s="10">
        <v>12</v>
      </c>
      <c r="C20" s="10">
        <v>3</v>
      </c>
      <c r="D20" s="10">
        <f>COUNTIFS('V12 - Secure Communication'!$F$2:$F$16,"Compliant",'V12 - Secure Communication'!$E$2:$E$16,1)</f>
        <v>0</v>
      </c>
      <c r="E20" s="11">
        <f t="shared" si="0"/>
        <v>0.75</v>
      </c>
      <c r="F20" s="10">
        <v>6</v>
      </c>
      <c r="G20" s="10">
        <f>COUNTIFS('V12 - Secure Communication'!$F$2:$F$16,"Compliant",'V12 - Secure Communication'!$E$2:$E$16,2)</f>
        <v>0</v>
      </c>
      <c r="H20" s="11">
        <f t="shared" si="1"/>
        <v>0.66666666666666663</v>
      </c>
      <c r="I20" s="10">
        <v>3</v>
      </c>
      <c r="J20" s="10">
        <f>COUNTIFS('V12 - Secure Communication'!$F$2:$F$16,"Compliant",'V12 - Secure Communication'!$E$2:$E$16,3)</f>
        <v>0</v>
      </c>
      <c r="K20" s="11" t="str">
        <f t="shared" si="3"/>
        <v/>
      </c>
      <c r="L20" s="10">
        <f>COUNTIF('V12 - Secure Communication'!$F$2:$F$16,"Compliant")</f>
        <v>0</v>
      </c>
      <c r="M20" s="11">
        <f t="shared" si="2"/>
        <v>0.7142857142857143</v>
      </c>
    </row>
    <row r="21" spans="1:13" ht="18" customHeight="1" x14ac:dyDescent="0.2">
      <c r="A21" s="6" t="s">
        <v>31</v>
      </c>
      <c r="B21" s="7">
        <v>21</v>
      </c>
      <c r="C21" s="7">
        <v>1</v>
      </c>
      <c r="D21" s="7">
        <f>COUNTIFS('V13 - Configuration'!$F$2:$F$26,"Compliant",'V13 - Configuration'!$E$2:$E$26,1)</f>
        <v>0</v>
      </c>
      <c r="E21" s="8">
        <f t="shared" si="0"/>
        <v>0</v>
      </c>
      <c r="F21" s="7">
        <v>12</v>
      </c>
      <c r="G21" s="7">
        <f>COUNTIFS('V13 - Configuration'!$F$2:$F$26,"Compliant",'V13 - Configuration'!$E$2:$E$26,2)</f>
        <v>1</v>
      </c>
      <c r="H21" s="8">
        <f t="shared" si="1"/>
        <v>0</v>
      </c>
      <c r="I21" s="7">
        <v>8</v>
      </c>
      <c r="J21" s="7">
        <f>COUNTIFS('V13 - Configuration'!$F$2:$F$26,"Compliant",'V13 - Configuration'!$E$2:$E$26,3)</f>
        <v>0</v>
      </c>
      <c r="K21" s="8">
        <f t="shared" si="3"/>
        <v>0</v>
      </c>
      <c r="L21" s="7">
        <f>COUNTIF('V13 - Configuration'!$F$2:$F$26,"Compliant")</f>
        <v>1</v>
      </c>
      <c r="M21" s="8">
        <f t="shared" si="2"/>
        <v>0</v>
      </c>
    </row>
    <row r="22" spans="1:13" ht="18" customHeight="1" x14ac:dyDescent="0.2">
      <c r="A22" s="9" t="s">
        <v>32</v>
      </c>
      <c r="B22" s="10">
        <v>13</v>
      </c>
      <c r="C22" s="10">
        <v>2</v>
      </c>
      <c r="D22" s="10">
        <f>COUNTIFS('V14 - Data Protection'!$F$2:$F$17,"Compliant",'V14 - Data Protection'!$E$2:$E$17,1)</f>
        <v>0</v>
      </c>
      <c r="E22" s="11">
        <f t="shared" si="0"/>
        <v>0.66666666666666663</v>
      </c>
      <c r="F22" s="10">
        <v>7</v>
      </c>
      <c r="G22" s="10">
        <f>COUNTIFS('V14 - Data Protection'!$F$2:$F$17,"Compliant",'V14 - Data Protection'!$E$2:$E$17,2)</f>
        <v>0</v>
      </c>
      <c r="H22" s="11">
        <f t="shared" si="1"/>
        <v>0.27272727272727271</v>
      </c>
      <c r="I22" s="10">
        <v>4</v>
      </c>
      <c r="J22" s="10">
        <f>COUNTIFS('V14 - Data Protection'!$F$2:$F$17,"Compliant",'V14 - Data Protection'!$E$2:$E$17,3)</f>
        <v>0</v>
      </c>
      <c r="K22" s="11">
        <f t="shared" si="3"/>
        <v>0</v>
      </c>
      <c r="L22" s="10">
        <f>COUNTIF('V14 - Data Protection'!$F$2:$F$17,"Compliant")</f>
        <v>0</v>
      </c>
      <c r="M22" s="11">
        <f t="shared" si="2"/>
        <v>0.20833333333333334</v>
      </c>
    </row>
    <row r="23" spans="1:13" ht="21.75" customHeight="1" x14ac:dyDescent="0.2">
      <c r="A23" s="6" t="s">
        <v>33</v>
      </c>
      <c r="B23" s="7">
        <v>21</v>
      </c>
      <c r="C23" s="7">
        <v>3</v>
      </c>
      <c r="D23" s="7">
        <f>COUNTIFS('V15 - Secure Coding and Archite'!$F$2:$F$26,"Compliant",'V15 - Secure Coding and Archite'!$E$2:$E$26,1)</f>
        <v>1</v>
      </c>
      <c r="E23" s="8">
        <f t="shared" si="0"/>
        <v>0</v>
      </c>
      <c r="F23" s="7">
        <v>10</v>
      </c>
      <c r="G23" s="7">
        <f>COUNTIFS('V15 - Secure Coding and Archite'!$F$2:$F$26,"Compliant",'V15 - Secure Coding and Archite'!$E$2:$E$26,2)</f>
        <v>3</v>
      </c>
      <c r="H23" s="8">
        <f t="shared" si="1"/>
        <v>0</v>
      </c>
      <c r="I23" s="7">
        <v>8</v>
      </c>
      <c r="J23" s="7">
        <f>COUNTIFS('V15 - Secure Coding and Archite'!$F$2:$F$26,"Compliant",'V15 - Secure Coding and Archite'!$E$2:$E$26,3)</f>
        <v>0</v>
      </c>
      <c r="K23" s="8">
        <f t="shared" si="3"/>
        <v>0</v>
      </c>
      <c r="L23" s="7">
        <f>COUNTIF('V15 - Secure Coding and Archite'!$F$2:$F$26,"Compliant")</f>
        <v>4</v>
      </c>
      <c r="M23" s="8">
        <f t="shared" si="2"/>
        <v>0</v>
      </c>
    </row>
    <row r="24" spans="1:13" ht="15" customHeight="1" x14ac:dyDescent="0.2">
      <c r="A24" s="9" t="s">
        <v>34</v>
      </c>
      <c r="B24" s="10">
        <v>17</v>
      </c>
      <c r="C24" s="10">
        <v>0</v>
      </c>
      <c r="D24" s="10" t="s">
        <v>27</v>
      </c>
      <c r="E24" s="10" t="s">
        <v>27</v>
      </c>
      <c r="F24" s="10">
        <v>16</v>
      </c>
      <c r="G24" s="10">
        <f>COUNTIFS('V16 - Security Logging and Erro'!$F$2:$F$23,"Compliant",'V16 - Security Logging and Erro'!$E$2:$E$23,2)</f>
        <v>0</v>
      </c>
      <c r="H24" s="11">
        <f t="shared" si="1"/>
        <v>8.3333333333333329E-2</v>
      </c>
      <c r="I24" s="10">
        <v>1</v>
      </c>
      <c r="J24" s="10">
        <f>COUNTIFS('V16 - Security Logging and Erro'!$F$2:$F$23,"Compliant",'V16 - Security Logging and Erro'!$E$2:$E$23,3)</f>
        <v>0</v>
      </c>
      <c r="K24" s="11">
        <f t="shared" si="3"/>
        <v>0</v>
      </c>
      <c r="L24" s="10">
        <f>COUNTIF('V16 - Security Logging and Erro'!$F$2:$F$23,"Compliant")</f>
        <v>0</v>
      </c>
      <c r="M24" s="11">
        <f t="shared" si="2"/>
        <v>4.7619047619047616E-2</v>
      </c>
    </row>
    <row r="25" spans="1:13" ht="15" customHeight="1" x14ac:dyDescent="0.2">
      <c r="A25" s="6" t="s">
        <v>35</v>
      </c>
      <c r="B25" s="7">
        <v>12</v>
      </c>
      <c r="C25" s="7">
        <v>0</v>
      </c>
      <c r="D25" s="7" t="s">
        <v>27</v>
      </c>
      <c r="E25" s="7" t="s">
        <v>27</v>
      </c>
      <c r="F25" s="7">
        <v>7</v>
      </c>
      <c r="G25" s="7">
        <f>COUNTIFS('V17 - WebRTC'!$F$2:$F$16,"Compliant",'V17 - WebRTC'!$E$2:$E$16,2)</f>
        <v>0</v>
      </c>
      <c r="H25" s="8">
        <f t="shared" si="1"/>
        <v>0</v>
      </c>
      <c r="I25" s="7">
        <v>5</v>
      </c>
      <c r="J25" s="7">
        <f>COUNTIFS('V17 - WebRTC'!$F$2:$F$16,"Compliant",'V17 - WebRTC'!$E$2:$E$16,3)</f>
        <v>0</v>
      </c>
      <c r="K25" s="8">
        <f t="shared" si="3"/>
        <v>0</v>
      </c>
      <c r="L25" s="7">
        <f>COUNTIF('V17 - WebRTC'!$F$2:$F$16,"Compliant")</f>
        <v>0</v>
      </c>
      <c r="M25" s="8">
        <f t="shared" si="2"/>
        <v>0</v>
      </c>
    </row>
    <row r="26" spans="1:13" ht="15" customHeight="1" x14ac:dyDescent="0.2">
      <c r="A26" s="12" t="s">
        <v>36</v>
      </c>
      <c r="B26" s="13">
        <f>SUM(B6:B22)</f>
        <v>295</v>
      </c>
      <c r="C26" s="13">
        <f>SUM(C6:C22)</f>
        <v>67</v>
      </c>
      <c r="D26" s="13">
        <f>SUM(D6:D22)</f>
        <v>13</v>
      </c>
      <c r="E26" s="14">
        <f>IFERROR(AVERAGE(E6:E22),"")</f>
        <v>0.24388111888111885</v>
      </c>
      <c r="F26" s="13">
        <f>SUM(F6:F22)</f>
        <v>150</v>
      </c>
      <c r="G26" s="13">
        <f>SUM(G6:G22)</f>
        <v>7</v>
      </c>
      <c r="H26" s="14">
        <f>IFERROR(AVERAGE(H6:H22),"")</f>
        <v>8.9531680440771338E-2</v>
      </c>
      <c r="I26" s="13">
        <f>SUM(I6:I22)</f>
        <v>78</v>
      </c>
      <c r="J26" s="13">
        <f>SUM(J6:J22)</f>
        <v>0</v>
      </c>
      <c r="K26" s="14">
        <f>IFERROR(AVERAGE(K6:K22),"")</f>
        <v>0</v>
      </c>
      <c r="L26" s="13">
        <f>SUM(L6:L22)</f>
        <v>20</v>
      </c>
      <c r="M26" s="14">
        <f>IFERROR(AVERAGE(M6:M22),"")</f>
        <v>0.11182713796095654</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2" activePane="bottomLeft" state="frozen"/>
      <selection pane="bottomLeft" activeCell="G34" sqref="G3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45</v>
      </c>
      <c r="B2" s="16" t="s">
        <v>46</v>
      </c>
      <c r="C2" s="16"/>
      <c r="D2" s="16"/>
      <c r="E2" s="16"/>
      <c r="F2" s="16"/>
      <c r="G2" s="16"/>
      <c r="H2" s="16"/>
    </row>
    <row r="3" spans="1:8" ht="30" customHeight="1" x14ac:dyDescent="0.2">
      <c r="A3" s="17" t="s">
        <v>45</v>
      </c>
      <c r="B3" s="17" t="s">
        <v>46</v>
      </c>
      <c r="C3" s="18" t="s">
        <v>47</v>
      </c>
      <c r="D3" s="19" t="s">
        <v>48</v>
      </c>
      <c r="E3" s="20">
        <v>2</v>
      </c>
      <c r="F3" s="21" t="s">
        <v>49</v>
      </c>
      <c r="G3" s="19"/>
      <c r="H3" s="19"/>
    </row>
    <row r="4" spans="1:8" ht="30" customHeight="1" x14ac:dyDescent="0.2">
      <c r="A4" s="22" t="s">
        <v>45</v>
      </c>
      <c r="B4" s="22" t="s">
        <v>46</v>
      </c>
      <c r="C4" s="23" t="s">
        <v>50</v>
      </c>
      <c r="D4" s="24" t="s">
        <v>51</v>
      </c>
      <c r="E4" s="20">
        <v>2</v>
      </c>
      <c r="F4" s="21" t="s">
        <v>49</v>
      </c>
      <c r="G4" s="24"/>
      <c r="H4" s="24"/>
    </row>
    <row r="5" spans="1:8" ht="18" customHeight="1" x14ac:dyDescent="0.2">
      <c r="A5" s="16" t="s">
        <v>52</v>
      </c>
      <c r="B5" s="16" t="s">
        <v>53</v>
      </c>
      <c r="C5" s="16"/>
      <c r="D5" s="16"/>
      <c r="E5" s="16"/>
      <c r="F5" s="16"/>
      <c r="G5" s="16"/>
      <c r="H5" s="16"/>
    </row>
    <row r="6" spans="1:8" ht="30" customHeight="1" x14ac:dyDescent="0.2">
      <c r="A6" s="17" t="s">
        <v>52</v>
      </c>
      <c r="B6" s="17" t="s">
        <v>53</v>
      </c>
      <c r="C6" s="18" t="s">
        <v>54</v>
      </c>
      <c r="D6" s="19" t="s">
        <v>55</v>
      </c>
      <c r="E6" s="25">
        <v>1</v>
      </c>
      <c r="F6" s="21" t="s">
        <v>49</v>
      </c>
      <c r="G6" s="19"/>
      <c r="H6" s="19"/>
    </row>
    <row r="7" spans="1:8" ht="30" customHeight="1" x14ac:dyDescent="0.2">
      <c r="A7" s="22" t="s">
        <v>52</v>
      </c>
      <c r="B7" s="22" t="s">
        <v>53</v>
      </c>
      <c r="C7" s="23" t="s">
        <v>56</v>
      </c>
      <c r="D7" s="24" t="s">
        <v>57</v>
      </c>
      <c r="E7" s="25">
        <v>1</v>
      </c>
      <c r="F7" s="21" t="s">
        <v>49</v>
      </c>
      <c r="G7" s="24"/>
      <c r="H7" s="24"/>
    </row>
    <row r="8" spans="1:8" ht="30" customHeight="1" x14ac:dyDescent="0.2">
      <c r="A8" s="17" t="s">
        <v>52</v>
      </c>
      <c r="B8" s="17" t="s">
        <v>53</v>
      </c>
      <c r="C8" s="18" t="s">
        <v>58</v>
      </c>
      <c r="D8" s="19" t="s">
        <v>59</v>
      </c>
      <c r="E8" s="25">
        <v>1</v>
      </c>
      <c r="F8" s="21" t="s">
        <v>49</v>
      </c>
      <c r="G8" s="19"/>
      <c r="H8" s="19"/>
    </row>
    <row r="9" spans="1:8" ht="30" customHeight="1" x14ac:dyDescent="0.2">
      <c r="A9" s="22" t="s">
        <v>52</v>
      </c>
      <c r="B9" s="22" t="s">
        <v>53</v>
      </c>
      <c r="C9" s="23" t="s">
        <v>60</v>
      </c>
      <c r="D9" s="24" t="s">
        <v>61</v>
      </c>
      <c r="E9" s="25">
        <v>1</v>
      </c>
      <c r="F9" s="21" t="s">
        <v>62</v>
      </c>
      <c r="G9" s="24" t="s">
        <v>63</v>
      </c>
      <c r="H9" s="24"/>
    </row>
    <row r="10" spans="1:8" ht="30" customHeight="1" x14ac:dyDescent="0.2">
      <c r="A10" s="17" t="s">
        <v>52</v>
      </c>
      <c r="B10" s="17" t="s">
        <v>53</v>
      </c>
      <c r="C10" s="18" t="s">
        <v>64</v>
      </c>
      <c r="D10" s="19" t="s">
        <v>65</v>
      </c>
      <c r="E10" s="25">
        <v>1</v>
      </c>
      <c r="F10" s="21" t="s">
        <v>49</v>
      </c>
      <c r="G10" s="19"/>
      <c r="H10" s="19"/>
    </row>
    <row r="11" spans="1:8" ht="30" customHeight="1" x14ac:dyDescent="0.2">
      <c r="A11" s="22" t="s">
        <v>52</v>
      </c>
      <c r="B11" s="22" t="s">
        <v>53</v>
      </c>
      <c r="C11" s="23" t="s">
        <v>66</v>
      </c>
      <c r="D11" s="24" t="s">
        <v>67</v>
      </c>
      <c r="E11" s="20">
        <v>2</v>
      </c>
      <c r="F11" s="21" t="s">
        <v>49</v>
      </c>
      <c r="G11" s="24"/>
      <c r="H11" s="24"/>
    </row>
    <row r="12" spans="1:8" ht="30" customHeight="1" x14ac:dyDescent="0.2">
      <c r="A12" s="17" t="s">
        <v>52</v>
      </c>
      <c r="B12" s="17" t="s">
        <v>53</v>
      </c>
      <c r="C12" s="18" t="s">
        <v>68</v>
      </c>
      <c r="D12" s="19" t="s">
        <v>69</v>
      </c>
      <c r="E12" s="20">
        <v>2</v>
      </c>
      <c r="F12" s="21" t="s">
        <v>49</v>
      </c>
      <c r="G12" s="19"/>
      <c r="H12" s="19"/>
    </row>
    <row r="13" spans="1:8" ht="30" customHeight="1" x14ac:dyDescent="0.2">
      <c r="A13" s="22" t="s">
        <v>52</v>
      </c>
      <c r="B13" s="22" t="s">
        <v>53</v>
      </c>
      <c r="C13" s="23" t="s">
        <v>70</v>
      </c>
      <c r="D13" s="24" t="s">
        <v>71</v>
      </c>
      <c r="E13" s="20">
        <v>2</v>
      </c>
      <c r="F13" s="21" t="s">
        <v>49</v>
      </c>
      <c r="G13" s="24"/>
      <c r="H13" s="24"/>
    </row>
    <row r="14" spans="1:8" ht="30" customHeight="1" x14ac:dyDescent="0.2">
      <c r="A14" s="17" t="s">
        <v>52</v>
      </c>
      <c r="B14" s="17" t="s">
        <v>53</v>
      </c>
      <c r="C14" s="18" t="s">
        <v>72</v>
      </c>
      <c r="D14" s="19" t="s">
        <v>73</v>
      </c>
      <c r="E14" s="20">
        <v>2</v>
      </c>
      <c r="F14" s="21" t="s">
        <v>49</v>
      </c>
      <c r="G14" s="19"/>
      <c r="H14" s="19"/>
    </row>
    <row r="15" spans="1:8" ht="30" customHeight="1" x14ac:dyDescent="0.2">
      <c r="A15" s="22" t="s">
        <v>52</v>
      </c>
      <c r="B15" s="22" t="s">
        <v>53</v>
      </c>
      <c r="C15" s="23" t="s">
        <v>74</v>
      </c>
      <c r="D15" s="24" t="s">
        <v>75</v>
      </c>
      <c r="E15" s="26">
        <v>3</v>
      </c>
      <c r="F15" s="21" t="s">
        <v>49</v>
      </c>
      <c r="G15" s="24"/>
      <c r="H15" s="24"/>
    </row>
    <row r="16" spans="1:8" ht="18" customHeight="1" x14ac:dyDescent="0.2">
      <c r="A16" s="16" t="s">
        <v>76</v>
      </c>
      <c r="B16" s="16" t="s">
        <v>77</v>
      </c>
      <c r="C16" s="16"/>
      <c r="D16" s="16"/>
      <c r="E16" s="16"/>
      <c r="F16" s="16"/>
      <c r="G16" s="16"/>
      <c r="H16" s="16"/>
    </row>
    <row r="17" spans="1:8" ht="30" customHeight="1" x14ac:dyDescent="0.2">
      <c r="A17" s="17" t="s">
        <v>76</v>
      </c>
      <c r="B17" s="17" t="s">
        <v>77</v>
      </c>
      <c r="C17" s="18" t="s">
        <v>78</v>
      </c>
      <c r="D17" s="19" t="s">
        <v>79</v>
      </c>
      <c r="E17" s="25">
        <v>1</v>
      </c>
      <c r="F17" s="21" t="s">
        <v>49</v>
      </c>
      <c r="G17" s="19"/>
      <c r="H17" s="19"/>
    </row>
    <row r="18" spans="1:8" ht="30" customHeight="1" x14ac:dyDescent="0.2">
      <c r="A18" s="22" t="s">
        <v>76</v>
      </c>
      <c r="B18" s="22" t="s">
        <v>77</v>
      </c>
      <c r="C18" s="23" t="s">
        <v>80</v>
      </c>
      <c r="D18" s="24" t="s">
        <v>81</v>
      </c>
      <c r="E18" s="25">
        <v>1</v>
      </c>
      <c r="F18" s="21" t="s">
        <v>49</v>
      </c>
      <c r="G18" s="24"/>
      <c r="H18" s="24"/>
    </row>
    <row r="19" spans="1:8" ht="30" customHeight="1" x14ac:dyDescent="0.2">
      <c r="A19" s="17" t="s">
        <v>76</v>
      </c>
      <c r="B19" s="17" t="s">
        <v>77</v>
      </c>
      <c r="C19" s="18" t="s">
        <v>82</v>
      </c>
      <c r="D19" s="19" t="s">
        <v>83</v>
      </c>
      <c r="E19" s="20">
        <v>2</v>
      </c>
      <c r="F19" s="21" t="s">
        <v>49</v>
      </c>
      <c r="G19" s="19"/>
      <c r="H19" s="19"/>
    </row>
    <row r="20" spans="1:8" ht="30" customHeight="1" x14ac:dyDescent="0.2">
      <c r="A20" s="22" t="s">
        <v>76</v>
      </c>
      <c r="B20" s="22" t="s">
        <v>77</v>
      </c>
      <c r="C20" s="23" t="s">
        <v>84</v>
      </c>
      <c r="D20" s="24" t="s">
        <v>85</v>
      </c>
      <c r="E20" s="20">
        <v>2</v>
      </c>
      <c r="F20" s="21" t="s">
        <v>49</v>
      </c>
      <c r="G20" s="24"/>
      <c r="H20" s="24"/>
    </row>
    <row r="21" spans="1:8" ht="30" customHeight="1" x14ac:dyDescent="0.2">
      <c r="A21" s="17" t="s">
        <v>76</v>
      </c>
      <c r="B21" s="17" t="s">
        <v>77</v>
      </c>
      <c r="C21" s="18" t="s">
        <v>86</v>
      </c>
      <c r="D21" s="19" t="s">
        <v>87</v>
      </c>
      <c r="E21" s="20">
        <v>2</v>
      </c>
      <c r="F21" s="21" t="s">
        <v>49</v>
      </c>
      <c r="G21" s="19"/>
      <c r="H21" s="19"/>
    </row>
    <row r="22" spans="1:8" ht="30" customHeight="1" x14ac:dyDescent="0.2">
      <c r="A22" s="22" t="s">
        <v>76</v>
      </c>
      <c r="B22" s="22" t="s">
        <v>77</v>
      </c>
      <c r="C22" s="23" t="s">
        <v>88</v>
      </c>
      <c r="D22" s="24" t="s">
        <v>89</v>
      </c>
      <c r="E22" s="20">
        <v>2</v>
      </c>
      <c r="F22" s="21" t="s">
        <v>49</v>
      </c>
      <c r="G22" s="24"/>
      <c r="H22" s="24"/>
    </row>
    <row r="23" spans="1:8" ht="30" customHeight="1" x14ac:dyDescent="0.2">
      <c r="A23" s="17" t="s">
        <v>76</v>
      </c>
      <c r="B23" s="17" t="s">
        <v>77</v>
      </c>
      <c r="C23" s="18" t="s">
        <v>90</v>
      </c>
      <c r="D23" s="19" t="s">
        <v>91</v>
      </c>
      <c r="E23" s="20">
        <v>2</v>
      </c>
      <c r="F23" s="21" t="s">
        <v>49</v>
      </c>
      <c r="G23" s="19"/>
      <c r="H23" s="19"/>
    </row>
    <row r="24" spans="1:8" ht="30" customHeight="1" x14ac:dyDescent="0.2">
      <c r="A24" s="22" t="s">
        <v>76</v>
      </c>
      <c r="B24" s="22" t="s">
        <v>77</v>
      </c>
      <c r="C24" s="23" t="s">
        <v>92</v>
      </c>
      <c r="D24" s="24" t="s">
        <v>93</v>
      </c>
      <c r="E24" s="20">
        <v>2</v>
      </c>
      <c r="F24" s="21" t="s">
        <v>49</v>
      </c>
      <c r="G24" s="24"/>
      <c r="H24" s="24"/>
    </row>
    <row r="25" spans="1:8" ht="30" customHeight="1" x14ac:dyDescent="0.2">
      <c r="A25" s="17" t="s">
        <v>76</v>
      </c>
      <c r="B25" s="17" t="s">
        <v>77</v>
      </c>
      <c r="C25" s="18" t="s">
        <v>94</v>
      </c>
      <c r="D25" s="19" t="s">
        <v>95</v>
      </c>
      <c r="E25" s="20">
        <v>2</v>
      </c>
      <c r="F25" s="21" t="s">
        <v>49</v>
      </c>
      <c r="G25" s="19"/>
      <c r="H25" s="19"/>
    </row>
    <row r="26" spans="1:8" ht="30" customHeight="1" x14ac:dyDescent="0.2">
      <c r="A26" s="22" t="s">
        <v>76</v>
      </c>
      <c r="B26" s="22" t="s">
        <v>77</v>
      </c>
      <c r="C26" s="23" t="s">
        <v>96</v>
      </c>
      <c r="D26" s="24" t="s">
        <v>97</v>
      </c>
      <c r="E26" s="20">
        <v>2</v>
      </c>
      <c r="F26" s="21" t="s">
        <v>49</v>
      </c>
      <c r="G26" s="24"/>
      <c r="H26" s="24"/>
    </row>
    <row r="27" spans="1:8" ht="30" customHeight="1" x14ac:dyDescent="0.2">
      <c r="A27" s="17" t="s">
        <v>76</v>
      </c>
      <c r="B27" s="17" t="s">
        <v>77</v>
      </c>
      <c r="C27" s="18" t="s">
        <v>98</v>
      </c>
      <c r="D27" s="19" t="s">
        <v>99</v>
      </c>
      <c r="E27" s="20">
        <v>2</v>
      </c>
      <c r="F27" s="21" t="s">
        <v>49</v>
      </c>
      <c r="G27" s="19"/>
      <c r="H27" s="19"/>
    </row>
    <row r="28" spans="1:8" ht="30" customHeight="1" x14ac:dyDescent="0.2">
      <c r="A28" s="22" t="s">
        <v>76</v>
      </c>
      <c r="B28" s="22" t="s">
        <v>77</v>
      </c>
      <c r="C28" s="23" t="s">
        <v>100</v>
      </c>
      <c r="D28" s="24" t="s">
        <v>101</v>
      </c>
      <c r="E28" s="26">
        <v>3</v>
      </c>
      <c r="F28" s="21" t="s">
        <v>49</v>
      </c>
      <c r="G28" s="24"/>
      <c r="H28" s="24"/>
    </row>
    <row r="29" spans="1:8" ht="18" customHeight="1" x14ac:dyDescent="0.2">
      <c r="A29" s="16" t="s">
        <v>102</v>
      </c>
      <c r="B29" s="16" t="s">
        <v>103</v>
      </c>
      <c r="C29" s="16"/>
      <c r="D29" s="16"/>
      <c r="E29" s="16"/>
      <c r="F29" s="16"/>
      <c r="G29" s="16"/>
      <c r="H29" s="16"/>
    </row>
    <row r="30" spans="1:8" ht="30" customHeight="1" x14ac:dyDescent="0.2">
      <c r="A30" s="17" t="s">
        <v>102</v>
      </c>
      <c r="B30" s="17" t="s">
        <v>103</v>
      </c>
      <c r="C30" s="18" t="s">
        <v>104</v>
      </c>
      <c r="D30" s="19" t="s">
        <v>105</v>
      </c>
      <c r="E30" s="20">
        <v>2</v>
      </c>
      <c r="F30" s="21" t="s">
        <v>49</v>
      </c>
      <c r="G30" s="19"/>
      <c r="H30" s="19"/>
    </row>
    <row r="31" spans="1:8" ht="30" customHeight="1" x14ac:dyDescent="0.2">
      <c r="A31" s="22" t="s">
        <v>102</v>
      </c>
      <c r="B31" s="22" t="s">
        <v>103</v>
      </c>
      <c r="C31" s="23" t="s">
        <v>106</v>
      </c>
      <c r="D31" s="24" t="s">
        <v>107</v>
      </c>
      <c r="E31" s="20">
        <v>2</v>
      </c>
      <c r="F31" s="21" t="s">
        <v>49</v>
      </c>
      <c r="G31" s="24"/>
      <c r="H31" s="24"/>
    </row>
    <row r="32" spans="1:8" ht="30" customHeight="1" x14ac:dyDescent="0.2">
      <c r="A32" s="17" t="s">
        <v>102</v>
      </c>
      <c r="B32" s="17" t="s">
        <v>103</v>
      </c>
      <c r="C32" s="18" t="s">
        <v>108</v>
      </c>
      <c r="D32" s="19" t="s">
        <v>109</v>
      </c>
      <c r="E32" s="20">
        <v>2</v>
      </c>
      <c r="F32" s="21" t="s">
        <v>49</v>
      </c>
      <c r="G32" s="19"/>
      <c r="H32" s="19"/>
    </row>
    <row r="33" spans="1:8" ht="18" customHeight="1" x14ac:dyDescent="0.2">
      <c r="A33" s="16" t="s">
        <v>110</v>
      </c>
      <c r="B33" s="16" t="s">
        <v>111</v>
      </c>
      <c r="C33" s="16"/>
      <c r="D33" s="16"/>
      <c r="E33" s="16"/>
      <c r="F33" s="16"/>
      <c r="G33" s="16"/>
      <c r="H33" s="16"/>
    </row>
    <row r="34" spans="1:8" ht="30" customHeight="1" x14ac:dyDescent="0.2">
      <c r="A34" s="17" t="s">
        <v>110</v>
      </c>
      <c r="B34" s="17" t="s">
        <v>111</v>
      </c>
      <c r="C34" s="18" t="s">
        <v>112</v>
      </c>
      <c r="D34" s="19" t="s">
        <v>113</v>
      </c>
      <c r="E34" s="25">
        <v>1</v>
      </c>
      <c r="F34" s="21" t="s">
        <v>49</v>
      </c>
      <c r="G34" s="19"/>
      <c r="H34" s="19"/>
    </row>
    <row r="35" spans="1:8" ht="30" customHeight="1" x14ac:dyDescent="0.2">
      <c r="A35" s="22" t="s">
        <v>110</v>
      </c>
      <c r="B35" s="22" t="s">
        <v>111</v>
      </c>
      <c r="C35" s="23" t="s">
        <v>114</v>
      </c>
      <c r="D35" s="24" t="s">
        <v>115</v>
      </c>
      <c r="E35" s="20">
        <v>2</v>
      </c>
      <c r="F35" s="21" t="s">
        <v>49</v>
      </c>
      <c r="G35" s="24"/>
      <c r="H35" s="24"/>
    </row>
    <row r="36" spans="1:8" ht="30" customHeight="1" x14ac:dyDescent="0.2">
      <c r="A36" s="17" t="s">
        <v>110</v>
      </c>
      <c r="B36" s="17" t="s">
        <v>111</v>
      </c>
      <c r="C36" s="18" t="s">
        <v>116</v>
      </c>
      <c r="D36" s="19" t="s">
        <v>117</v>
      </c>
      <c r="E36" s="26">
        <v>3</v>
      </c>
      <c r="F36" s="21" t="s">
        <v>49</v>
      </c>
      <c r="G36" s="19"/>
      <c r="H36" s="19"/>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G13" sqref="G1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118</v>
      </c>
      <c r="B2" s="16" t="s">
        <v>119</v>
      </c>
      <c r="C2" s="16"/>
      <c r="D2" s="16"/>
      <c r="E2" s="16"/>
      <c r="F2" s="16"/>
      <c r="G2" s="16"/>
      <c r="H2" s="16"/>
    </row>
    <row r="3" spans="1:8" ht="30" customHeight="1" x14ac:dyDescent="0.2">
      <c r="A3" s="17" t="s">
        <v>118</v>
      </c>
      <c r="B3" s="17" t="s">
        <v>119</v>
      </c>
      <c r="C3" s="18" t="s">
        <v>120</v>
      </c>
      <c r="D3" s="19" t="s">
        <v>121</v>
      </c>
      <c r="E3" s="25">
        <v>1</v>
      </c>
      <c r="F3" s="21" t="s">
        <v>122</v>
      </c>
      <c r="G3" s="19" t="s">
        <v>123</v>
      </c>
      <c r="H3" s="19"/>
    </row>
    <row r="4" spans="1:8" ht="30" customHeight="1" x14ac:dyDescent="0.2">
      <c r="A4" s="22" t="s">
        <v>118</v>
      </c>
      <c r="B4" s="22" t="s">
        <v>119</v>
      </c>
      <c r="C4" s="23" t="s">
        <v>124</v>
      </c>
      <c r="D4" s="24" t="s">
        <v>125</v>
      </c>
      <c r="E4" s="20">
        <v>2</v>
      </c>
      <c r="F4" s="21" t="s">
        <v>49</v>
      </c>
      <c r="G4" s="24"/>
      <c r="H4" s="24"/>
    </row>
    <row r="5" spans="1:8" ht="30" customHeight="1" x14ac:dyDescent="0.2">
      <c r="A5" s="17" t="s">
        <v>118</v>
      </c>
      <c r="B5" s="17" t="s">
        <v>119</v>
      </c>
      <c r="C5" s="18" t="s">
        <v>126</v>
      </c>
      <c r="D5" s="19" t="s">
        <v>127</v>
      </c>
      <c r="E5" s="20">
        <v>2</v>
      </c>
      <c r="F5" s="21" t="s">
        <v>122</v>
      </c>
      <c r="G5" s="19" t="s">
        <v>128</v>
      </c>
      <c r="H5" s="19"/>
    </row>
    <row r="6" spans="1:8" ht="18" customHeight="1" x14ac:dyDescent="0.2">
      <c r="A6" s="16" t="s">
        <v>129</v>
      </c>
      <c r="B6" s="16" t="s">
        <v>130</v>
      </c>
      <c r="C6" s="16"/>
      <c r="D6" s="16"/>
      <c r="E6" s="16"/>
      <c r="F6" s="16"/>
      <c r="G6" s="16"/>
      <c r="H6" s="16"/>
    </row>
    <row r="7" spans="1:8" ht="30" customHeight="1" x14ac:dyDescent="0.2">
      <c r="A7" s="17" t="s">
        <v>129</v>
      </c>
      <c r="B7" s="17" t="s">
        <v>130</v>
      </c>
      <c r="C7" s="18" t="s">
        <v>131</v>
      </c>
      <c r="D7" s="19" t="s">
        <v>132</v>
      </c>
      <c r="E7" s="25">
        <v>1</v>
      </c>
      <c r="F7" s="21" t="s">
        <v>122</v>
      </c>
      <c r="G7" s="19" t="s">
        <v>133</v>
      </c>
      <c r="H7" s="19"/>
    </row>
    <row r="8" spans="1:8" ht="30" customHeight="1" x14ac:dyDescent="0.2">
      <c r="A8" s="22" t="s">
        <v>129</v>
      </c>
      <c r="B8" s="22" t="s">
        <v>130</v>
      </c>
      <c r="C8" s="23" t="s">
        <v>134</v>
      </c>
      <c r="D8" s="24" t="s">
        <v>135</v>
      </c>
      <c r="E8" s="25">
        <v>1</v>
      </c>
      <c r="F8" s="21" t="s">
        <v>49</v>
      </c>
      <c r="G8" s="24"/>
      <c r="H8" s="24"/>
    </row>
    <row r="9" spans="1:8" ht="30" customHeight="1" x14ac:dyDescent="0.2">
      <c r="A9" s="17" t="s">
        <v>129</v>
      </c>
      <c r="B9" s="17" t="s">
        <v>130</v>
      </c>
      <c r="C9" s="18" t="s">
        <v>136</v>
      </c>
      <c r="D9" s="19" t="s">
        <v>137</v>
      </c>
      <c r="E9" s="20">
        <v>2</v>
      </c>
      <c r="F9" s="21" t="s">
        <v>49</v>
      </c>
      <c r="G9" s="19"/>
      <c r="H9" s="19"/>
    </row>
    <row r="10" spans="1:8" ht="18" customHeight="1" x14ac:dyDescent="0.2">
      <c r="A10" s="16" t="s">
        <v>138</v>
      </c>
      <c r="B10" s="16" t="s">
        <v>139</v>
      </c>
      <c r="C10" s="16"/>
      <c r="D10" s="16"/>
      <c r="E10" s="16"/>
      <c r="F10" s="16"/>
      <c r="G10" s="16"/>
      <c r="H10" s="16"/>
    </row>
    <row r="11" spans="1:8" ht="30" customHeight="1" x14ac:dyDescent="0.2">
      <c r="A11" s="17" t="s">
        <v>138</v>
      </c>
      <c r="B11" s="17" t="s">
        <v>139</v>
      </c>
      <c r="C11" s="18" t="s">
        <v>140</v>
      </c>
      <c r="D11" s="19" t="s">
        <v>141</v>
      </c>
      <c r="E11" s="25">
        <v>1</v>
      </c>
      <c r="F11" s="21" t="s">
        <v>122</v>
      </c>
      <c r="G11" s="19" t="s">
        <v>142</v>
      </c>
      <c r="H11" s="19"/>
    </row>
    <row r="12" spans="1:8" ht="30" customHeight="1" x14ac:dyDescent="0.2">
      <c r="A12" s="22" t="s">
        <v>138</v>
      </c>
      <c r="B12" s="22" t="s">
        <v>139</v>
      </c>
      <c r="C12" s="23" t="s">
        <v>143</v>
      </c>
      <c r="D12" s="24" t="s">
        <v>144</v>
      </c>
      <c r="E12" s="20">
        <v>2</v>
      </c>
      <c r="F12" s="21" t="s">
        <v>122</v>
      </c>
      <c r="G12" s="24" t="s">
        <v>145</v>
      </c>
      <c r="H12" s="24"/>
    </row>
    <row r="13" spans="1:8" ht="30" customHeight="1" x14ac:dyDescent="0.2">
      <c r="A13" s="17" t="s">
        <v>138</v>
      </c>
      <c r="B13" s="17" t="s">
        <v>139</v>
      </c>
      <c r="C13" s="18" t="s">
        <v>146</v>
      </c>
      <c r="D13" s="19" t="s">
        <v>147</v>
      </c>
      <c r="E13" s="20">
        <v>2</v>
      </c>
      <c r="F13" s="21" t="s">
        <v>122</v>
      </c>
      <c r="G13" s="19" t="s">
        <v>148</v>
      </c>
      <c r="H13" s="19"/>
    </row>
    <row r="14" spans="1:8" ht="30" customHeight="1" x14ac:dyDescent="0.2">
      <c r="A14" s="22" t="s">
        <v>138</v>
      </c>
      <c r="B14" s="22" t="s">
        <v>139</v>
      </c>
      <c r="C14" s="23" t="s">
        <v>149</v>
      </c>
      <c r="D14" s="24" t="s">
        <v>150</v>
      </c>
      <c r="E14" s="20">
        <v>2</v>
      </c>
      <c r="F14" s="21" t="s">
        <v>49</v>
      </c>
      <c r="G14" s="24"/>
      <c r="H14" s="24"/>
    </row>
    <row r="15" spans="1:8" ht="30" customHeight="1" x14ac:dyDescent="0.2">
      <c r="A15" s="17" t="s">
        <v>138</v>
      </c>
      <c r="B15" s="17" t="s">
        <v>139</v>
      </c>
      <c r="C15" s="18" t="s">
        <v>151</v>
      </c>
      <c r="D15" s="19" t="s">
        <v>152</v>
      </c>
      <c r="E15" s="26">
        <v>3</v>
      </c>
      <c r="F15" s="21" t="s">
        <v>49</v>
      </c>
      <c r="G15" s="19"/>
      <c r="H15" s="19"/>
    </row>
    <row r="16" spans="1:8" ht="18" customHeight="1" x14ac:dyDescent="0.2">
      <c r="A16" s="16" t="s">
        <v>153</v>
      </c>
      <c r="B16" s="16" t="s">
        <v>154</v>
      </c>
      <c r="C16" s="16"/>
      <c r="D16" s="16"/>
      <c r="E16" s="16"/>
      <c r="F16" s="16"/>
      <c r="G16" s="16"/>
      <c r="H16" s="16"/>
    </row>
    <row r="17" spans="1:8" ht="30" customHeight="1" x14ac:dyDescent="0.2">
      <c r="A17" s="17" t="s">
        <v>153</v>
      </c>
      <c r="B17" s="17" t="s">
        <v>154</v>
      </c>
      <c r="C17" s="18" t="s">
        <v>155</v>
      </c>
      <c r="D17" s="19" t="s">
        <v>156</v>
      </c>
      <c r="E17" s="20">
        <v>2</v>
      </c>
      <c r="F17" s="21" t="s">
        <v>122</v>
      </c>
      <c r="G17" s="19" t="s">
        <v>157</v>
      </c>
      <c r="H17" s="19"/>
    </row>
    <row r="18" spans="1:8" ht="30" customHeight="1" x14ac:dyDescent="0.2">
      <c r="A18" s="22" t="s">
        <v>153</v>
      </c>
      <c r="B18" s="22" t="s">
        <v>154</v>
      </c>
      <c r="C18" s="23" t="s">
        <v>158</v>
      </c>
      <c r="D18" s="24" t="s">
        <v>159</v>
      </c>
      <c r="E18" s="26">
        <v>3</v>
      </c>
      <c r="F18" s="21" t="s">
        <v>49</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1" activePane="bottomLeft" state="frozen"/>
      <selection pane="bottomLeft" activeCell="M26" sqref="M26:M2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160</v>
      </c>
      <c r="B2" s="16" t="s">
        <v>161</v>
      </c>
      <c r="C2" s="16"/>
      <c r="D2" s="16"/>
      <c r="E2" s="16"/>
      <c r="F2" s="16"/>
      <c r="G2" s="16"/>
      <c r="H2" s="16"/>
    </row>
    <row r="3" spans="1:8" ht="30" customHeight="1" x14ac:dyDescent="0.2">
      <c r="A3" s="17" t="s">
        <v>160</v>
      </c>
      <c r="B3" s="17" t="s">
        <v>161</v>
      </c>
      <c r="C3" s="18" t="s">
        <v>162</v>
      </c>
      <c r="D3" s="19" t="s">
        <v>163</v>
      </c>
      <c r="E3" s="26">
        <v>3</v>
      </c>
      <c r="F3" s="21" t="s">
        <v>49</v>
      </c>
      <c r="G3" s="19"/>
      <c r="H3" s="19"/>
    </row>
    <row r="4" spans="1:8" ht="18" customHeight="1" x14ac:dyDescent="0.2">
      <c r="A4" s="16" t="s">
        <v>164</v>
      </c>
      <c r="B4" s="16" t="s">
        <v>165</v>
      </c>
      <c r="C4" s="16"/>
      <c r="D4" s="16"/>
      <c r="E4" s="16"/>
      <c r="F4" s="16"/>
      <c r="G4" s="16"/>
      <c r="H4" s="16"/>
    </row>
    <row r="5" spans="1:8" ht="30" customHeight="1" x14ac:dyDescent="0.2">
      <c r="A5" s="17" t="s">
        <v>164</v>
      </c>
      <c r="B5" s="17" t="s">
        <v>165</v>
      </c>
      <c r="C5" s="18" t="s">
        <v>166</v>
      </c>
      <c r="D5" s="19" t="s">
        <v>167</v>
      </c>
      <c r="E5" s="25">
        <v>1</v>
      </c>
      <c r="F5" s="21" t="s">
        <v>49</v>
      </c>
      <c r="G5" s="19"/>
      <c r="H5" s="19"/>
    </row>
    <row r="6" spans="1:8" ht="30" customHeight="1" x14ac:dyDescent="0.2">
      <c r="A6" s="22" t="s">
        <v>164</v>
      </c>
      <c r="B6" s="22" t="s">
        <v>165</v>
      </c>
      <c r="C6" s="23" t="s">
        <v>168</v>
      </c>
      <c r="D6" s="24" t="s">
        <v>169</v>
      </c>
      <c r="E6" s="25">
        <v>1</v>
      </c>
      <c r="F6" s="21" t="s">
        <v>49</v>
      </c>
      <c r="G6" s="24"/>
      <c r="H6" s="24"/>
    </row>
    <row r="7" spans="1:8" ht="30" customHeight="1" x14ac:dyDescent="0.2">
      <c r="A7" s="17" t="s">
        <v>164</v>
      </c>
      <c r="B7" s="17" t="s">
        <v>165</v>
      </c>
      <c r="C7" s="18" t="s">
        <v>170</v>
      </c>
      <c r="D7" s="19" t="s">
        <v>171</v>
      </c>
      <c r="E7" s="26">
        <v>3</v>
      </c>
      <c r="F7" s="21" t="s">
        <v>49</v>
      </c>
      <c r="G7" s="19"/>
      <c r="H7" s="19"/>
    </row>
    <row r="8" spans="1:8" ht="18" customHeight="1" x14ac:dyDescent="0.2">
      <c r="A8" s="16" t="s">
        <v>172</v>
      </c>
      <c r="B8" s="16" t="s">
        <v>173</v>
      </c>
      <c r="C8" s="16"/>
      <c r="D8" s="16"/>
      <c r="E8" s="16"/>
      <c r="F8" s="16"/>
      <c r="G8" s="16"/>
      <c r="H8" s="16"/>
    </row>
    <row r="9" spans="1:8" ht="30" customHeight="1" x14ac:dyDescent="0.2">
      <c r="A9" s="17" t="s">
        <v>172</v>
      </c>
      <c r="B9" s="17" t="s">
        <v>173</v>
      </c>
      <c r="C9" s="18" t="s">
        <v>174</v>
      </c>
      <c r="D9" s="19" t="s">
        <v>175</v>
      </c>
      <c r="E9" s="25">
        <v>1</v>
      </c>
      <c r="F9" s="21" t="s">
        <v>49</v>
      </c>
      <c r="G9" s="19"/>
      <c r="H9" s="19"/>
    </row>
    <row r="10" spans="1:8" ht="30" customHeight="1" x14ac:dyDescent="0.2">
      <c r="A10" s="22" t="s">
        <v>172</v>
      </c>
      <c r="B10" s="22" t="s">
        <v>173</v>
      </c>
      <c r="C10" s="23" t="s">
        <v>176</v>
      </c>
      <c r="D10" s="24" t="s">
        <v>177</v>
      </c>
      <c r="E10" s="20">
        <v>2</v>
      </c>
      <c r="F10" s="21" t="s">
        <v>49</v>
      </c>
      <c r="G10" s="24"/>
      <c r="H10" s="24"/>
    </row>
    <row r="11" spans="1:8" ht="30" customHeight="1" x14ac:dyDescent="0.2">
      <c r="A11" s="17" t="s">
        <v>172</v>
      </c>
      <c r="B11" s="17" t="s">
        <v>173</v>
      </c>
      <c r="C11" s="18" t="s">
        <v>178</v>
      </c>
      <c r="D11" s="19" t="s">
        <v>179</v>
      </c>
      <c r="E11" s="20">
        <v>2</v>
      </c>
      <c r="F11" s="21" t="s">
        <v>49</v>
      </c>
      <c r="G11" s="19"/>
      <c r="H11" s="19"/>
    </row>
    <row r="12" spans="1:8" ht="30" customHeight="1" x14ac:dyDescent="0.2">
      <c r="A12" s="22" t="s">
        <v>172</v>
      </c>
      <c r="B12" s="22" t="s">
        <v>173</v>
      </c>
      <c r="C12" s="23" t="s">
        <v>180</v>
      </c>
      <c r="D12" s="24" t="s">
        <v>181</v>
      </c>
      <c r="E12" s="20">
        <v>2</v>
      </c>
      <c r="F12" s="21" t="s">
        <v>49</v>
      </c>
      <c r="G12" s="24"/>
      <c r="H12" s="24"/>
    </row>
    <row r="13" spans="1:8" ht="30" customHeight="1" x14ac:dyDescent="0.2">
      <c r="A13" s="17" t="s">
        <v>172</v>
      </c>
      <c r="B13" s="17" t="s">
        <v>173</v>
      </c>
      <c r="C13" s="18" t="s">
        <v>182</v>
      </c>
      <c r="D13" s="19" t="s">
        <v>183</v>
      </c>
      <c r="E13" s="26">
        <v>3</v>
      </c>
      <c r="F13" s="21" t="s">
        <v>49</v>
      </c>
      <c r="G13" s="19"/>
      <c r="H13" s="19"/>
    </row>
    <row r="14" spans="1:8" ht="18" customHeight="1" x14ac:dyDescent="0.2">
      <c r="A14" s="16" t="s">
        <v>184</v>
      </c>
      <c r="B14" s="16" t="s">
        <v>185</v>
      </c>
      <c r="C14" s="16"/>
      <c r="D14" s="16"/>
      <c r="E14" s="16"/>
      <c r="F14" s="16"/>
      <c r="G14" s="16"/>
      <c r="H14" s="16"/>
    </row>
    <row r="15" spans="1:8" ht="30" customHeight="1" x14ac:dyDescent="0.2">
      <c r="A15" s="17" t="s">
        <v>184</v>
      </c>
      <c r="B15" s="17" t="s">
        <v>185</v>
      </c>
      <c r="C15" s="18" t="s">
        <v>186</v>
      </c>
      <c r="D15" s="19" t="s">
        <v>187</v>
      </c>
      <c r="E15" s="25">
        <v>1</v>
      </c>
      <c r="F15" s="21" t="s">
        <v>49</v>
      </c>
      <c r="G15" s="27"/>
      <c r="H15" s="19"/>
    </row>
    <row r="16" spans="1:8" ht="30" customHeight="1" x14ac:dyDescent="0.2">
      <c r="A16" s="22" t="s">
        <v>184</v>
      </c>
      <c r="B16" s="22" t="s">
        <v>185</v>
      </c>
      <c r="C16" s="23" t="s">
        <v>189</v>
      </c>
      <c r="D16" s="24" t="s">
        <v>190</v>
      </c>
      <c r="E16" s="25">
        <v>1</v>
      </c>
      <c r="F16" s="21" t="s">
        <v>49</v>
      </c>
      <c r="G16" s="24"/>
      <c r="H16" s="24"/>
    </row>
    <row r="17" spans="1:8" ht="30" customHeight="1" x14ac:dyDescent="0.2">
      <c r="A17" s="17" t="s">
        <v>184</v>
      </c>
      <c r="B17" s="17" t="s">
        <v>185</v>
      </c>
      <c r="C17" s="18" t="s">
        <v>191</v>
      </c>
      <c r="D17" s="19" t="s">
        <v>192</v>
      </c>
      <c r="E17" s="20">
        <v>2</v>
      </c>
      <c r="F17" s="21" t="s">
        <v>49</v>
      </c>
      <c r="G17" s="19"/>
      <c r="H17" s="19"/>
    </row>
    <row r="18" spans="1:8" ht="30" customHeight="1" x14ac:dyDescent="0.2">
      <c r="A18" s="22" t="s">
        <v>184</v>
      </c>
      <c r="B18" s="22" t="s">
        <v>185</v>
      </c>
      <c r="C18" s="23" t="s">
        <v>193</v>
      </c>
      <c r="D18" s="24" t="s">
        <v>194</v>
      </c>
      <c r="E18" s="20">
        <v>2</v>
      </c>
      <c r="F18" s="21" t="s">
        <v>49</v>
      </c>
      <c r="G18" s="24"/>
      <c r="H18" s="24"/>
    </row>
    <row r="19" spans="1:8" ht="30" customHeight="1" x14ac:dyDescent="0.2">
      <c r="A19" s="17" t="s">
        <v>184</v>
      </c>
      <c r="B19" s="17" t="s">
        <v>185</v>
      </c>
      <c r="C19" s="18" t="s">
        <v>195</v>
      </c>
      <c r="D19" s="19" t="s">
        <v>196</v>
      </c>
      <c r="E19" s="20">
        <v>2</v>
      </c>
      <c r="F19" s="21" t="s">
        <v>49</v>
      </c>
      <c r="G19" s="19"/>
      <c r="H19" s="19"/>
    </row>
    <row r="20" spans="1:8" ht="30" customHeight="1" x14ac:dyDescent="0.2">
      <c r="A20" s="22" t="s">
        <v>184</v>
      </c>
      <c r="B20" s="22" t="s">
        <v>185</v>
      </c>
      <c r="C20" s="23" t="s">
        <v>197</v>
      </c>
      <c r="D20" s="24" t="s">
        <v>198</v>
      </c>
      <c r="E20" s="20">
        <v>2</v>
      </c>
      <c r="F20" s="21" t="s">
        <v>49</v>
      </c>
      <c r="G20" s="24"/>
      <c r="H20" s="24"/>
    </row>
    <row r="21" spans="1:8" ht="30" customHeight="1" x14ac:dyDescent="0.2">
      <c r="A21" s="17" t="s">
        <v>184</v>
      </c>
      <c r="B21" s="17" t="s">
        <v>185</v>
      </c>
      <c r="C21" s="18" t="s">
        <v>199</v>
      </c>
      <c r="D21" s="19" t="s">
        <v>200</v>
      </c>
      <c r="E21" s="26">
        <v>3</v>
      </c>
      <c r="F21" s="21" t="s">
        <v>49</v>
      </c>
      <c r="G21" s="19"/>
      <c r="H21" s="19"/>
    </row>
    <row r="22" spans="1:8" ht="30" customHeight="1" x14ac:dyDescent="0.2">
      <c r="A22" s="22" t="s">
        <v>184</v>
      </c>
      <c r="B22" s="22" t="s">
        <v>185</v>
      </c>
      <c r="C22" s="23" t="s">
        <v>201</v>
      </c>
      <c r="D22" s="24" t="s">
        <v>202</v>
      </c>
      <c r="E22" s="26">
        <v>3</v>
      </c>
      <c r="F22" s="21" t="s">
        <v>49</v>
      </c>
      <c r="G22" s="24"/>
      <c r="H22" s="24"/>
    </row>
    <row r="23" spans="1:8" ht="18" customHeight="1" x14ac:dyDescent="0.2">
      <c r="A23" s="16" t="s">
        <v>203</v>
      </c>
      <c r="B23" s="16" t="s">
        <v>204</v>
      </c>
      <c r="C23" s="16"/>
      <c r="D23" s="16"/>
      <c r="E23" s="16"/>
      <c r="F23" s="16"/>
      <c r="G23" s="16"/>
      <c r="H23" s="16"/>
    </row>
    <row r="24" spans="1:8" ht="30" customHeight="1" x14ac:dyDescent="0.2">
      <c r="A24" s="17" t="s">
        <v>203</v>
      </c>
      <c r="B24" s="17" t="s">
        <v>204</v>
      </c>
      <c r="C24" s="18" t="s">
        <v>205</v>
      </c>
      <c r="D24" s="19" t="s">
        <v>206</v>
      </c>
      <c r="E24" s="25">
        <v>1</v>
      </c>
      <c r="F24" s="21" t="s">
        <v>49</v>
      </c>
      <c r="G24" s="19"/>
      <c r="H24" s="19"/>
    </row>
    <row r="25" spans="1:8" ht="30" customHeight="1" x14ac:dyDescent="0.2">
      <c r="A25" s="22" t="s">
        <v>203</v>
      </c>
      <c r="B25" s="22" t="s">
        <v>204</v>
      </c>
      <c r="C25" s="23" t="s">
        <v>207</v>
      </c>
      <c r="D25" s="24" t="s">
        <v>208</v>
      </c>
      <c r="E25" s="25">
        <v>1</v>
      </c>
      <c r="F25" s="21" t="s">
        <v>49</v>
      </c>
      <c r="G25" s="24"/>
      <c r="H25" s="24"/>
    </row>
    <row r="26" spans="1:8" ht="30" customHeight="1" x14ac:dyDescent="0.2">
      <c r="A26" s="17" t="s">
        <v>203</v>
      </c>
      <c r="B26" s="17" t="s">
        <v>204</v>
      </c>
      <c r="C26" s="18" t="s">
        <v>209</v>
      </c>
      <c r="D26" s="19" t="s">
        <v>210</v>
      </c>
      <c r="E26" s="25">
        <v>1</v>
      </c>
      <c r="F26" s="21" t="s">
        <v>49</v>
      </c>
      <c r="G26" s="19"/>
      <c r="H26" s="19"/>
    </row>
    <row r="27" spans="1:8" ht="30" customHeight="1" x14ac:dyDescent="0.2">
      <c r="A27" s="22" t="s">
        <v>203</v>
      </c>
      <c r="B27" s="22" t="s">
        <v>204</v>
      </c>
      <c r="C27" s="23" t="s">
        <v>211</v>
      </c>
      <c r="D27" s="24" t="s">
        <v>212</v>
      </c>
      <c r="E27" s="20">
        <v>2</v>
      </c>
      <c r="F27" s="21" t="s">
        <v>49</v>
      </c>
      <c r="G27" s="24"/>
      <c r="H27" s="24"/>
    </row>
    <row r="28" spans="1:8" ht="30" customHeight="1" x14ac:dyDescent="0.2">
      <c r="A28" s="17" t="s">
        <v>203</v>
      </c>
      <c r="B28" s="17" t="s">
        <v>204</v>
      </c>
      <c r="C28" s="18" t="s">
        <v>213</v>
      </c>
      <c r="D28" s="19" t="s">
        <v>214</v>
      </c>
      <c r="E28" s="20">
        <v>2</v>
      </c>
      <c r="F28" s="21" t="s">
        <v>49</v>
      </c>
      <c r="G28" s="19"/>
      <c r="H28" s="19"/>
    </row>
    <row r="29" spans="1:8" ht="30" customHeight="1" x14ac:dyDescent="0.2">
      <c r="A29" s="22" t="s">
        <v>203</v>
      </c>
      <c r="B29" s="22" t="s">
        <v>204</v>
      </c>
      <c r="C29" s="23" t="s">
        <v>215</v>
      </c>
      <c r="D29" s="24" t="s">
        <v>216</v>
      </c>
      <c r="E29" s="26">
        <v>3</v>
      </c>
      <c r="F29" s="21" t="s">
        <v>49</v>
      </c>
      <c r="G29" s="24"/>
      <c r="H29" s="24"/>
    </row>
    <row r="30" spans="1:8" ht="30" customHeight="1" x14ac:dyDescent="0.2">
      <c r="A30" s="17" t="s">
        <v>203</v>
      </c>
      <c r="B30" s="17" t="s">
        <v>204</v>
      </c>
      <c r="C30" s="18" t="s">
        <v>217</v>
      </c>
      <c r="D30" s="19" t="s">
        <v>218</v>
      </c>
      <c r="E30" s="26">
        <v>3</v>
      </c>
      <c r="F30" s="21" t="s">
        <v>49</v>
      </c>
      <c r="G30" s="19"/>
      <c r="H30" s="19"/>
    </row>
    <row r="31" spans="1:8" ht="30" customHeight="1" x14ac:dyDescent="0.2">
      <c r="A31" s="22" t="s">
        <v>203</v>
      </c>
      <c r="B31" s="22" t="s">
        <v>204</v>
      </c>
      <c r="C31" s="23" t="s">
        <v>219</v>
      </c>
      <c r="D31" s="24" t="s">
        <v>220</v>
      </c>
      <c r="E31" s="26">
        <v>3</v>
      </c>
      <c r="F31" s="21" t="s">
        <v>49</v>
      </c>
      <c r="G31" s="24"/>
      <c r="H31" s="24"/>
    </row>
    <row r="32" spans="1:8" ht="18" customHeight="1" x14ac:dyDescent="0.2">
      <c r="A32" s="16" t="s">
        <v>221</v>
      </c>
      <c r="B32" s="16" t="s">
        <v>222</v>
      </c>
      <c r="C32" s="16"/>
      <c r="D32" s="16"/>
      <c r="E32" s="16"/>
      <c r="F32" s="16"/>
      <c r="G32" s="16"/>
      <c r="H32" s="16"/>
    </row>
    <row r="33" spans="1:8" ht="30" customHeight="1" x14ac:dyDescent="0.2">
      <c r="A33" s="17" t="s">
        <v>221</v>
      </c>
      <c r="B33" s="17" t="s">
        <v>222</v>
      </c>
      <c r="C33" s="18" t="s">
        <v>223</v>
      </c>
      <c r="D33" s="19" t="s">
        <v>224</v>
      </c>
      <c r="E33" s="26">
        <v>3</v>
      </c>
      <c r="F33" s="21" t="s">
        <v>49</v>
      </c>
      <c r="G33" s="19"/>
      <c r="H33" s="19"/>
    </row>
    <row r="34" spans="1:8" ht="18" customHeight="1" x14ac:dyDescent="0.2">
      <c r="A34" s="16" t="s">
        <v>225</v>
      </c>
      <c r="B34" s="16" t="s">
        <v>226</v>
      </c>
      <c r="C34" s="16"/>
      <c r="D34" s="16"/>
      <c r="E34" s="16"/>
      <c r="F34" s="16"/>
      <c r="G34" s="16"/>
      <c r="H34" s="16"/>
    </row>
    <row r="35" spans="1:8" ht="30" customHeight="1" x14ac:dyDescent="0.2">
      <c r="A35" s="17" t="s">
        <v>225</v>
      </c>
      <c r="B35" s="17" t="s">
        <v>226</v>
      </c>
      <c r="C35" s="18" t="s">
        <v>227</v>
      </c>
      <c r="D35" s="19" t="s">
        <v>228</v>
      </c>
      <c r="E35" s="20">
        <v>2</v>
      </c>
      <c r="F35" s="21" t="s">
        <v>49</v>
      </c>
      <c r="G35" s="19"/>
      <c r="H35" s="19"/>
    </row>
    <row r="36" spans="1:8" ht="30" customHeight="1" x14ac:dyDescent="0.2">
      <c r="A36" s="22" t="s">
        <v>225</v>
      </c>
      <c r="B36" s="22" t="s">
        <v>226</v>
      </c>
      <c r="C36" s="23" t="s">
        <v>229</v>
      </c>
      <c r="D36" s="24" t="s">
        <v>230</v>
      </c>
      <c r="E36" s="20">
        <v>2</v>
      </c>
      <c r="F36" s="21" t="s">
        <v>49</v>
      </c>
      <c r="G36" s="24"/>
      <c r="H36" s="24"/>
    </row>
    <row r="37" spans="1:8" ht="30" customHeight="1" x14ac:dyDescent="0.2">
      <c r="A37" s="17" t="s">
        <v>225</v>
      </c>
      <c r="B37" s="17" t="s">
        <v>226</v>
      </c>
      <c r="C37" s="18" t="s">
        <v>231</v>
      </c>
      <c r="D37" s="19" t="s">
        <v>232</v>
      </c>
      <c r="E37" s="26">
        <v>3</v>
      </c>
      <c r="F37" s="21" t="s">
        <v>49</v>
      </c>
      <c r="G37" s="19"/>
      <c r="H37" s="19"/>
    </row>
    <row r="38" spans="1:8" ht="30" customHeight="1" x14ac:dyDescent="0.2">
      <c r="A38" s="22" t="s">
        <v>225</v>
      </c>
      <c r="B38" s="22" t="s">
        <v>226</v>
      </c>
      <c r="C38" s="23" t="s">
        <v>233</v>
      </c>
      <c r="D38" s="24" t="s">
        <v>234</v>
      </c>
      <c r="E38" s="26">
        <v>3</v>
      </c>
      <c r="F38" s="21" t="s">
        <v>49</v>
      </c>
      <c r="G38" s="24"/>
      <c r="H38" s="24"/>
    </row>
    <row r="39" spans="1:8" ht="30" customHeight="1" x14ac:dyDescent="0.2">
      <c r="A39" s="17" t="s">
        <v>225</v>
      </c>
      <c r="B39" s="17" t="s">
        <v>226</v>
      </c>
      <c r="C39" s="18" t="s">
        <v>235</v>
      </c>
      <c r="D39" s="19" t="s">
        <v>236</v>
      </c>
      <c r="E39" s="26">
        <v>3</v>
      </c>
      <c r="F39" s="21" t="s">
        <v>49</v>
      </c>
      <c r="G39" s="19"/>
      <c r="H39" s="19"/>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activeCell="D6" sqref="D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237</v>
      </c>
      <c r="B2" s="16" t="s">
        <v>238</v>
      </c>
      <c r="C2" s="16"/>
      <c r="D2" s="16"/>
      <c r="E2" s="16"/>
      <c r="F2" s="16"/>
      <c r="G2" s="16"/>
      <c r="H2" s="16"/>
    </row>
    <row r="3" spans="1:8" ht="30" customHeight="1" x14ac:dyDescent="0.2">
      <c r="A3" s="17" t="s">
        <v>237</v>
      </c>
      <c r="B3" s="17" t="s">
        <v>238</v>
      </c>
      <c r="C3" s="18" t="s">
        <v>239</v>
      </c>
      <c r="D3" s="19" t="s">
        <v>240</v>
      </c>
      <c r="E3" s="25">
        <v>1</v>
      </c>
      <c r="F3" s="21" t="s">
        <v>62</v>
      </c>
      <c r="G3" s="19" t="s">
        <v>241</v>
      </c>
      <c r="H3" s="19" t="s">
        <v>242</v>
      </c>
    </row>
    <row r="4" spans="1:8" ht="30" customHeight="1" x14ac:dyDescent="0.2">
      <c r="A4" s="22" t="s">
        <v>237</v>
      </c>
      <c r="B4" s="22" t="s">
        <v>238</v>
      </c>
      <c r="C4" s="23" t="s">
        <v>243</v>
      </c>
      <c r="D4" s="24" t="s">
        <v>244</v>
      </c>
      <c r="E4" s="20">
        <v>2</v>
      </c>
      <c r="F4" s="21" t="s">
        <v>49</v>
      </c>
      <c r="G4" s="24"/>
      <c r="H4" s="24"/>
    </row>
    <row r="5" spans="1:8" ht="30" customHeight="1" x14ac:dyDescent="0.2">
      <c r="A5" s="17" t="s">
        <v>237</v>
      </c>
      <c r="B5" s="17" t="s">
        <v>238</v>
      </c>
      <c r="C5" s="18" t="s">
        <v>245</v>
      </c>
      <c r="D5" s="19" t="s">
        <v>246</v>
      </c>
      <c r="E5" s="20">
        <v>2</v>
      </c>
      <c r="F5" s="21" t="s">
        <v>49</v>
      </c>
      <c r="G5" s="19"/>
      <c r="H5" s="19"/>
    </row>
    <row r="6" spans="1:8" ht="30" customHeight="1" x14ac:dyDescent="0.2">
      <c r="A6" s="22" t="s">
        <v>237</v>
      </c>
      <c r="B6" s="22" t="s">
        <v>238</v>
      </c>
      <c r="C6" s="23" t="s">
        <v>247</v>
      </c>
      <c r="D6" s="24" t="s">
        <v>248</v>
      </c>
      <c r="E6" s="26">
        <v>3</v>
      </c>
      <c r="F6" s="21" t="s">
        <v>122</v>
      </c>
      <c r="G6" s="24" t="s">
        <v>249</v>
      </c>
      <c r="H6" s="24"/>
    </row>
    <row r="7" spans="1:8" ht="30" customHeight="1" x14ac:dyDescent="0.2">
      <c r="A7" s="17" t="s">
        <v>237</v>
      </c>
      <c r="B7" s="17" t="s">
        <v>238</v>
      </c>
      <c r="C7" s="18" t="s">
        <v>250</v>
      </c>
      <c r="D7" s="19" t="s">
        <v>251</v>
      </c>
      <c r="E7" s="26">
        <v>3</v>
      </c>
      <c r="F7" s="21" t="s">
        <v>49</v>
      </c>
      <c r="G7" s="19"/>
      <c r="H7" s="19"/>
    </row>
    <row r="8" spans="1:8" ht="18" customHeight="1" x14ac:dyDescent="0.2">
      <c r="A8" s="16" t="s">
        <v>252</v>
      </c>
      <c r="B8" s="16" t="s">
        <v>253</v>
      </c>
      <c r="C8" s="16"/>
      <c r="D8" s="16"/>
      <c r="E8" s="16"/>
      <c r="F8" s="16"/>
      <c r="G8" s="16"/>
      <c r="H8" s="16"/>
    </row>
    <row r="9" spans="1:8" ht="30" customHeight="1" x14ac:dyDescent="0.2">
      <c r="A9" s="17" t="s">
        <v>252</v>
      </c>
      <c r="B9" s="17" t="s">
        <v>253</v>
      </c>
      <c r="C9" s="18" t="s">
        <v>254</v>
      </c>
      <c r="D9" s="19" t="s">
        <v>255</v>
      </c>
      <c r="E9" s="20">
        <v>2</v>
      </c>
      <c r="F9" s="21" t="s">
        <v>122</v>
      </c>
      <c r="G9" s="19" t="s">
        <v>256</v>
      </c>
      <c r="H9" s="19"/>
    </row>
    <row r="10" spans="1:8" ht="30" customHeight="1" x14ac:dyDescent="0.2">
      <c r="A10" s="22" t="s">
        <v>252</v>
      </c>
      <c r="B10" s="22" t="s">
        <v>253</v>
      </c>
      <c r="C10" s="23" t="s">
        <v>257</v>
      </c>
      <c r="D10" s="24" t="s">
        <v>258</v>
      </c>
      <c r="E10" s="26">
        <v>3</v>
      </c>
      <c r="F10" s="21" t="s">
        <v>49</v>
      </c>
      <c r="G10" s="24"/>
      <c r="H10" s="24"/>
    </row>
    <row r="11" spans="1:8" ht="30" customHeight="1" x14ac:dyDescent="0.2">
      <c r="A11" s="17" t="s">
        <v>252</v>
      </c>
      <c r="B11" s="17" t="s">
        <v>253</v>
      </c>
      <c r="C11" s="18" t="s">
        <v>259</v>
      </c>
      <c r="D11" s="19" t="s">
        <v>260</v>
      </c>
      <c r="E11" s="26">
        <v>3</v>
      </c>
      <c r="F11" s="21" t="s">
        <v>49</v>
      </c>
      <c r="G11" s="19"/>
      <c r="H11" s="19"/>
    </row>
    <row r="12" spans="1:8" ht="30" customHeight="1" x14ac:dyDescent="0.2">
      <c r="A12" s="22" t="s">
        <v>252</v>
      </c>
      <c r="B12" s="22" t="s">
        <v>253</v>
      </c>
      <c r="C12" s="23" t="s">
        <v>261</v>
      </c>
      <c r="D12" s="24" t="s">
        <v>262</v>
      </c>
      <c r="E12" s="26">
        <v>3</v>
      </c>
      <c r="F12" s="21" t="s">
        <v>49</v>
      </c>
      <c r="G12" s="24"/>
      <c r="H12" s="24"/>
    </row>
    <row r="13" spans="1:8" ht="30" customHeight="1" x14ac:dyDescent="0.2">
      <c r="A13" s="17" t="s">
        <v>252</v>
      </c>
      <c r="B13" s="17" t="s">
        <v>253</v>
      </c>
      <c r="C13" s="18" t="s">
        <v>263</v>
      </c>
      <c r="D13" s="19" t="s">
        <v>264</v>
      </c>
      <c r="E13" s="26">
        <v>3</v>
      </c>
      <c r="F13" s="21" t="s">
        <v>49</v>
      </c>
      <c r="G13" s="19"/>
      <c r="H13" s="19"/>
    </row>
    <row r="14" spans="1:8" ht="18" customHeight="1" x14ac:dyDescent="0.2">
      <c r="A14" s="16" t="s">
        <v>265</v>
      </c>
      <c r="B14" s="16" t="s">
        <v>266</v>
      </c>
      <c r="C14" s="16"/>
      <c r="D14" s="16"/>
      <c r="E14" s="16"/>
      <c r="F14" s="16"/>
      <c r="G14" s="16"/>
      <c r="H14" s="16"/>
    </row>
    <row r="15" spans="1:8" ht="30" customHeight="1" x14ac:dyDescent="0.2">
      <c r="A15" s="17" t="s">
        <v>265</v>
      </c>
      <c r="B15" s="17" t="s">
        <v>266</v>
      </c>
      <c r="C15" s="18" t="s">
        <v>267</v>
      </c>
      <c r="D15" s="19" t="s">
        <v>268</v>
      </c>
      <c r="E15" s="20">
        <v>2</v>
      </c>
      <c r="F15" s="21" t="s">
        <v>49</v>
      </c>
      <c r="G15" s="19"/>
      <c r="H15" s="19"/>
    </row>
    <row r="16" spans="1:8" ht="30" customHeight="1" x14ac:dyDescent="0.2">
      <c r="A16" s="22" t="s">
        <v>265</v>
      </c>
      <c r="B16" s="22" t="s">
        <v>266</v>
      </c>
      <c r="C16" s="23" t="s">
        <v>269</v>
      </c>
      <c r="D16" s="24" t="s">
        <v>270</v>
      </c>
      <c r="E16" s="20">
        <v>2</v>
      </c>
      <c r="F16" s="21" t="s">
        <v>49</v>
      </c>
      <c r="G16" s="24"/>
      <c r="H16" s="24"/>
    </row>
    <row r="17" spans="1:8" ht="18" customHeight="1" x14ac:dyDescent="0.2">
      <c r="A17" s="16" t="s">
        <v>271</v>
      </c>
      <c r="B17" s="16" t="s">
        <v>272</v>
      </c>
      <c r="C17" s="16"/>
      <c r="D17" s="16"/>
      <c r="E17" s="16"/>
      <c r="F17" s="16"/>
      <c r="G17" s="16"/>
      <c r="H17" s="16"/>
    </row>
    <row r="18" spans="1:8" ht="30" customHeight="1" x14ac:dyDescent="0.2">
      <c r="A18" s="17" t="s">
        <v>271</v>
      </c>
      <c r="B18" s="17" t="s">
        <v>272</v>
      </c>
      <c r="C18" s="18" t="s">
        <v>273</v>
      </c>
      <c r="D18" s="19" t="s">
        <v>274</v>
      </c>
      <c r="E18" s="25">
        <v>1</v>
      </c>
      <c r="F18" s="21" t="s">
        <v>49</v>
      </c>
      <c r="G18" s="19"/>
      <c r="H18" s="19"/>
    </row>
    <row r="19" spans="1:8" ht="30" customHeight="1" x14ac:dyDescent="0.2">
      <c r="A19" s="22" t="s">
        <v>271</v>
      </c>
      <c r="B19" s="22" t="s">
        <v>272</v>
      </c>
      <c r="C19" s="23" t="s">
        <v>275</v>
      </c>
      <c r="D19" s="24" t="s">
        <v>276</v>
      </c>
      <c r="E19" s="20">
        <v>2</v>
      </c>
      <c r="F19" s="21" t="s">
        <v>49</v>
      </c>
      <c r="G19" s="24"/>
      <c r="H19" s="24"/>
    </row>
    <row r="20" spans="1:8" ht="30" customHeight="1" x14ac:dyDescent="0.2">
      <c r="A20" s="17" t="s">
        <v>271</v>
      </c>
      <c r="B20" s="17" t="s">
        <v>272</v>
      </c>
      <c r="C20" s="18" t="s">
        <v>277</v>
      </c>
      <c r="D20" s="19" t="s">
        <v>278</v>
      </c>
      <c r="E20" s="20">
        <v>2</v>
      </c>
      <c r="F20" s="21" t="s">
        <v>49</v>
      </c>
      <c r="G20" s="19"/>
      <c r="H20" s="19"/>
    </row>
    <row r="21" spans="1:8" ht="30" customHeight="1" x14ac:dyDescent="0.2">
      <c r="A21" s="22" t="s">
        <v>271</v>
      </c>
      <c r="B21" s="22" t="s">
        <v>272</v>
      </c>
      <c r="C21" s="23" t="s">
        <v>279</v>
      </c>
      <c r="D21" s="24" t="s">
        <v>280</v>
      </c>
      <c r="E21" s="20">
        <v>2</v>
      </c>
      <c r="F21" s="21" t="s">
        <v>49</v>
      </c>
      <c r="G21" s="24"/>
      <c r="H21" s="24"/>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activeCell="G18" sqref="G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281</v>
      </c>
      <c r="B2" s="16" t="s">
        <v>282</v>
      </c>
      <c r="C2" s="16"/>
      <c r="D2" s="16"/>
      <c r="E2" s="16"/>
      <c r="F2" s="16"/>
      <c r="G2" s="16"/>
      <c r="H2" s="16"/>
    </row>
    <row r="3" spans="1:8" ht="30" customHeight="1" x14ac:dyDescent="0.2">
      <c r="A3" s="17" t="s">
        <v>281</v>
      </c>
      <c r="B3" s="17" t="s">
        <v>282</v>
      </c>
      <c r="C3" s="18" t="s">
        <v>283</v>
      </c>
      <c r="D3" s="19" t="s">
        <v>284</v>
      </c>
      <c r="E3" s="20">
        <v>2</v>
      </c>
      <c r="F3" s="21" t="s">
        <v>285</v>
      </c>
      <c r="G3" s="19" t="s">
        <v>286</v>
      </c>
      <c r="H3" s="19"/>
    </row>
    <row r="4" spans="1:8" ht="18" customHeight="1" x14ac:dyDescent="0.2">
      <c r="A4" s="16" t="s">
        <v>287</v>
      </c>
      <c r="B4" s="16" t="s">
        <v>288</v>
      </c>
      <c r="C4" s="16"/>
      <c r="D4" s="16"/>
      <c r="E4" s="16"/>
      <c r="F4" s="16"/>
      <c r="G4" s="16"/>
      <c r="H4" s="16"/>
    </row>
    <row r="5" spans="1:8" ht="30" customHeight="1" x14ac:dyDescent="0.2">
      <c r="A5" s="17" t="s">
        <v>287</v>
      </c>
      <c r="B5" s="17" t="s">
        <v>288</v>
      </c>
      <c r="C5" s="18" t="s">
        <v>289</v>
      </c>
      <c r="D5" s="19" t="s">
        <v>290</v>
      </c>
      <c r="E5" s="25">
        <v>1</v>
      </c>
      <c r="F5" s="21" t="s">
        <v>122</v>
      </c>
      <c r="G5" s="19" t="s">
        <v>291</v>
      </c>
      <c r="H5" s="19"/>
    </row>
    <row r="6" spans="1:8" ht="30" customHeight="1" x14ac:dyDescent="0.2">
      <c r="A6" s="22" t="s">
        <v>287</v>
      </c>
      <c r="B6" s="22" t="s">
        <v>288</v>
      </c>
      <c r="C6" s="23" t="s">
        <v>292</v>
      </c>
      <c r="D6" s="24" t="s">
        <v>293</v>
      </c>
      <c r="E6" s="25">
        <v>1</v>
      </c>
      <c r="F6" s="21" t="s">
        <v>122</v>
      </c>
      <c r="G6" s="24" t="s">
        <v>294</v>
      </c>
      <c r="H6" s="24"/>
    </row>
    <row r="7" spans="1:8" ht="30" customHeight="1" x14ac:dyDescent="0.2">
      <c r="A7" s="17" t="s">
        <v>287</v>
      </c>
      <c r="B7" s="17" t="s">
        <v>288</v>
      </c>
      <c r="C7" s="18" t="s">
        <v>295</v>
      </c>
      <c r="D7" s="19" t="s">
        <v>296</v>
      </c>
      <c r="E7" s="20">
        <v>2</v>
      </c>
      <c r="F7" s="21" t="s">
        <v>122</v>
      </c>
      <c r="G7" s="19" t="s">
        <v>297</v>
      </c>
      <c r="H7" s="19"/>
    </row>
    <row r="8" spans="1:8" ht="30" customHeight="1" x14ac:dyDescent="0.2">
      <c r="A8" s="22" t="s">
        <v>287</v>
      </c>
      <c r="B8" s="22" t="s">
        <v>288</v>
      </c>
      <c r="C8" s="23" t="s">
        <v>298</v>
      </c>
      <c r="D8" s="24" t="s">
        <v>299</v>
      </c>
      <c r="E8" s="26">
        <v>3</v>
      </c>
      <c r="F8" s="21" t="s">
        <v>122</v>
      </c>
      <c r="G8" s="24" t="s">
        <v>300</v>
      </c>
      <c r="H8" s="24"/>
    </row>
    <row r="9" spans="1:8" ht="30" customHeight="1" x14ac:dyDescent="0.2">
      <c r="A9" s="17" t="s">
        <v>287</v>
      </c>
      <c r="B9" s="17" t="s">
        <v>288</v>
      </c>
      <c r="C9" s="18" t="s">
        <v>301</v>
      </c>
      <c r="D9" s="19" t="s">
        <v>302</v>
      </c>
      <c r="E9" s="26">
        <v>3</v>
      </c>
      <c r="F9" s="21" t="s">
        <v>49</v>
      </c>
      <c r="G9" s="19"/>
      <c r="H9" s="19"/>
    </row>
    <row r="10" spans="1:8" ht="30" customHeight="1" x14ac:dyDescent="0.2">
      <c r="A10" s="22" t="s">
        <v>287</v>
      </c>
      <c r="B10" s="22" t="s">
        <v>288</v>
      </c>
      <c r="C10" s="23" t="s">
        <v>303</v>
      </c>
      <c r="D10" s="24" t="s">
        <v>304</v>
      </c>
      <c r="E10" s="26">
        <v>3</v>
      </c>
      <c r="F10" s="21" t="s">
        <v>49</v>
      </c>
      <c r="G10" s="24"/>
      <c r="H10" s="24"/>
    </row>
    <row r="11" spans="1:8" ht="18" customHeight="1" x14ac:dyDescent="0.2">
      <c r="A11" s="16" t="s">
        <v>305</v>
      </c>
      <c r="B11" s="16" t="s">
        <v>306</v>
      </c>
      <c r="C11" s="16"/>
      <c r="D11" s="16"/>
      <c r="E11" s="16"/>
      <c r="F11" s="16"/>
      <c r="G11" s="16"/>
      <c r="H11" s="16"/>
    </row>
    <row r="12" spans="1:8" ht="30" customHeight="1" x14ac:dyDescent="0.2">
      <c r="A12" s="17" t="s">
        <v>305</v>
      </c>
      <c r="B12" s="17" t="s">
        <v>306</v>
      </c>
      <c r="C12" s="18" t="s">
        <v>307</v>
      </c>
      <c r="D12" s="19" t="s">
        <v>308</v>
      </c>
      <c r="E12" s="25">
        <v>1</v>
      </c>
      <c r="F12" s="21" t="s">
        <v>49</v>
      </c>
      <c r="G12" s="19"/>
      <c r="H12" s="19"/>
    </row>
    <row r="13" spans="1:8" ht="30" customHeight="1" x14ac:dyDescent="0.2">
      <c r="A13" s="22" t="s">
        <v>305</v>
      </c>
      <c r="B13" s="22" t="s">
        <v>306</v>
      </c>
      <c r="C13" s="23" t="s">
        <v>309</v>
      </c>
      <c r="D13" s="24" t="s">
        <v>310</v>
      </c>
      <c r="E13" s="25">
        <v>1</v>
      </c>
      <c r="F13" s="21" t="s">
        <v>285</v>
      </c>
      <c r="G13" s="24" t="s">
        <v>311</v>
      </c>
      <c r="H13" s="24"/>
    </row>
    <row r="14" spans="1:8" ht="30" customHeight="1" x14ac:dyDescent="0.2">
      <c r="A14" s="17" t="s">
        <v>305</v>
      </c>
      <c r="B14" s="17" t="s">
        <v>306</v>
      </c>
      <c r="C14" s="18" t="s">
        <v>312</v>
      </c>
      <c r="D14" s="19" t="s">
        <v>313</v>
      </c>
      <c r="E14" s="26">
        <v>3</v>
      </c>
      <c r="F14" s="21" t="s">
        <v>49</v>
      </c>
      <c r="G14" s="19"/>
      <c r="H14" s="19"/>
    </row>
    <row r="15" spans="1:8" ht="18" customHeight="1" x14ac:dyDescent="0.2">
      <c r="A15" s="16" t="s">
        <v>314</v>
      </c>
      <c r="B15" s="16" t="s">
        <v>315</v>
      </c>
      <c r="C15" s="16"/>
      <c r="D15" s="16"/>
      <c r="E15" s="16"/>
      <c r="F15" s="16"/>
      <c r="G15" s="16"/>
      <c r="H15" s="16"/>
    </row>
    <row r="16" spans="1:8" ht="30" customHeight="1" x14ac:dyDescent="0.2">
      <c r="A16" s="17" t="s">
        <v>314</v>
      </c>
      <c r="B16" s="17" t="s">
        <v>315</v>
      </c>
      <c r="C16" s="18" t="s">
        <v>316</v>
      </c>
      <c r="D16" s="19" t="s">
        <v>317</v>
      </c>
      <c r="E16" s="20">
        <v>2</v>
      </c>
      <c r="F16" s="21" t="s">
        <v>122</v>
      </c>
      <c r="G16" s="19" t="s">
        <v>318</v>
      </c>
      <c r="H16" s="19"/>
    </row>
    <row r="17" spans="1:8" ht="30" customHeight="1" x14ac:dyDescent="0.2">
      <c r="A17" s="22" t="s">
        <v>314</v>
      </c>
      <c r="B17" s="22" t="s">
        <v>315</v>
      </c>
      <c r="C17" s="23" t="s">
        <v>319</v>
      </c>
      <c r="D17" s="24" t="s">
        <v>320</v>
      </c>
      <c r="E17" s="20">
        <v>2</v>
      </c>
      <c r="F17" s="21" t="s">
        <v>122</v>
      </c>
      <c r="G17" s="24" t="s">
        <v>321</v>
      </c>
      <c r="H17" s="24"/>
    </row>
    <row r="18" spans="1:8" ht="30" customHeight="1" x14ac:dyDescent="0.2">
      <c r="A18" s="17" t="s">
        <v>314</v>
      </c>
      <c r="B18" s="17" t="s">
        <v>315</v>
      </c>
      <c r="C18" s="18" t="s">
        <v>322</v>
      </c>
      <c r="D18" s="19" t="s">
        <v>323</v>
      </c>
      <c r="E18" s="20">
        <v>2</v>
      </c>
      <c r="F18" s="21" t="s">
        <v>122</v>
      </c>
      <c r="G18" s="19" t="s">
        <v>324</v>
      </c>
      <c r="H18" s="19"/>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3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325</v>
      </c>
      <c r="B2" s="16" t="s">
        <v>326</v>
      </c>
      <c r="C2" s="16"/>
      <c r="D2" s="16"/>
      <c r="E2" s="16"/>
      <c r="F2" s="16"/>
      <c r="G2" s="16"/>
      <c r="H2" s="16"/>
    </row>
    <row r="3" spans="1:8" ht="30" customHeight="1" x14ac:dyDescent="0.2">
      <c r="A3" s="17" t="s">
        <v>325</v>
      </c>
      <c r="B3" s="17" t="s">
        <v>326</v>
      </c>
      <c r="C3" s="18" t="s">
        <v>327</v>
      </c>
      <c r="D3" s="19" t="s">
        <v>328</v>
      </c>
      <c r="E3" s="25">
        <v>1</v>
      </c>
      <c r="F3" s="21" t="s">
        <v>122</v>
      </c>
      <c r="G3" s="19" t="s">
        <v>329</v>
      </c>
      <c r="H3" s="19"/>
    </row>
    <row r="4" spans="1:8" ht="30" customHeight="1" x14ac:dyDescent="0.2">
      <c r="A4" s="22" t="s">
        <v>325</v>
      </c>
      <c r="B4" s="22" t="s">
        <v>326</v>
      </c>
      <c r="C4" s="23" t="s">
        <v>330</v>
      </c>
      <c r="D4" s="24" t="s">
        <v>331</v>
      </c>
      <c r="E4" s="20">
        <v>2</v>
      </c>
      <c r="F4" s="21" t="s">
        <v>49</v>
      </c>
      <c r="G4" s="24"/>
      <c r="H4" s="24"/>
    </row>
    <row r="5" spans="1:8" ht="30" customHeight="1" x14ac:dyDescent="0.2">
      <c r="A5" s="17" t="s">
        <v>325</v>
      </c>
      <c r="B5" s="17" t="s">
        <v>326</v>
      </c>
      <c r="C5" s="18" t="s">
        <v>332</v>
      </c>
      <c r="D5" s="19" t="s">
        <v>333</v>
      </c>
      <c r="E5" s="20">
        <v>2</v>
      </c>
      <c r="F5" s="21" t="s">
        <v>49</v>
      </c>
      <c r="G5" s="19"/>
      <c r="H5" s="19"/>
    </row>
    <row r="6" spans="1:8" ht="18" customHeight="1" x14ac:dyDescent="0.2">
      <c r="A6" s="16" t="s">
        <v>334</v>
      </c>
      <c r="B6" s="16" t="s">
        <v>335</v>
      </c>
      <c r="C6" s="16"/>
      <c r="D6" s="16"/>
      <c r="E6" s="16"/>
      <c r="F6" s="16"/>
      <c r="G6" s="16"/>
      <c r="H6" s="16"/>
    </row>
    <row r="7" spans="1:8" ht="30" customHeight="1" x14ac:dyDescent="0.2">
      <c r="A7" s="17" t="s">
        <v>334</v>
      </c>
      <c r="B7" s="17" t="s">
        <v>335</v>
      </c>
      <c r="C7" s="18" t="s">
        <v>336</v>
      </c>
      <c r="D7" s="19" t="s">
        <v>337</v>
      </c>
      <c r="E7" s="25">
        <v>1</v>
      </c>
      <c r="F7" s="21" t="s">
        <v>122</v>
      </c>
      <c r="G7" s="19" t="s">
        <v>338</v>
      </c>
      <c r="H7" s="19"/>
    </row>
    <row r="8" spans="1:8" ht="30" customHeight="1" x14ac:dyDescent="0.2">
      <c r="A8" s="22" t="s">
        <v>334</v>
      </c>
      <c r="B8" s="22" t="s">
        <v>335</v>
      </c>
      <c r="C8" s="23" t="s">
        <v>339</v>
      </c>
      <c r="D8" s="24" t="s">
        <v>340</v>
      </c>
      <c r="E8" s="25">
        <v>1</v>
      </c>
      <c r="F8" s="21" t="s">
        <v>122</v>
      </c>
      <c r="G8" s="24" t="s">
        <v>341</v>
      </c>
      <c r="H8" s="24"/>
    </row>
    <row r="9" spans="1:8" ht="30" customHeight="1" x14ac:dyDescent="0.2">
      <c r="A9" s="17" t="s">
        <v>334</v>
      </c>
      <c r="B9" s="17" t="s">
        <v>335</v>
      </c>
      <c r="C9" s="18" t="s">
        <v>342</v>
      </c>
      <c r="D9" s="19" t="s">
        <v>343</v>
      </c>
      <c r="E9" s="25">
        <v>1</v>
      </c>
      <c r="F9" s="21" t="s">
        <v>49</v>
      </c>
      <c r="G9" s="19"/>
      <c r="H9" s="19"/>
    </row>
    <row r="10" spans="1:8" ht="30" customHeight="1" x14ac:dyDescent="0.2">
      <c r="A10" s="22" t="s">
        <v>334</v>
      </c>
      <c r="B10" s="22" t="s">
        <v>335</v>
      </c>
      <c r="C10" s="23" t="s">
        <v>344</v>
      </c>
      <c r="D10" s="24" t="s">
        <v>345</v>
      </c>
      <c r="E10" s="25">
        <v>1</v>
      </c>
      <c r="F10" s="21" t="s">
        <v>122</v>
      </c>
      <c r="G10" s="24" t="s">
        <v>346</v>
      </c>
      <c r="H10" s="24"/>
    </row>
    <row r="11" spans="1:8" ht="30" customHeight="1" x14ac:dyDescent="0.2">
      <c r="A11" s="17" t="s">
        <v>334</v>
      </c>
      <c r="B11" s="17" t="s">
        <v>335</v>
      </c>
      <c r="C11" s="18" t="s">
        <v>347</v>
      </c>
      <c r="D11" s="19" t="s">
        <v>348</v>
      </c>
      <c r="E11" s="25">
        <v>1</v>
      </c>
      <c r="F11" s="21" t="s">
        <v>62</v>
      </c>
      <c r="G11" s="19" t="s">
        <v>349</v>
      </c>
      <c r="H11" s="19"/>
    </row>
    <row r="12" spans="1:8" ht="30" customHeight="1" x14ac:dyDescent="0.2">
      <c r="A12" s="22" t="s">
        <v>334</v>
      </c>
      <c r="B12" s="22" t="s">
        <v>335</v>
      </c>
      <c r="C12" s="23" t="s">
        <v>350</v>
      </c>
      <c r="D12" s="24" t="s">
        <v>351</v>
      </c>
      <c r="E12" s="25">
        <v>1</v>
      </c>
      <c r="F12" s="21" t="s">
        <v>49</v>
      </c>
      <c r="G12" s="24"/>
      <c r="H12" s="24"/>
    </row>
    <row r="13" spans="1:8" ht="30" customHeight="1" x14ac:dyDescent="0.2">
      <c r="A13" s="17" t="s">
        <v>334</v>
      </c>
      <c r="B13" s="17" t="s">
        <v>335</v>
      </c>
      <c r="C13" s="18" t="s">
        <v>352</v>
      </c>
      <c r="D13" s="19" t="s">
        <v>353</v>
      </c>
      <c r="E13" s="25">
        <v>1</v>
      </c>
      <c r="F13" s="21" t="s">
        <v>49</v>
      </c>
      <c r="G13" s="19"/>
      <c r="H13" s="19"/>
    </row>
    <row r="14" spans="1:8" ht="30" customHeight="1" x14ac:dyDescent="0.2">
      <c r="A14" s="22" t="s">
        <v>334</v>
      </c>
      <c r="B14" s="22" t="s">
        <v>335</v>
      </c>
      <c r="C14" s="23" t="s">
        <v>354</v>
      </c>
      <c r="D14" s="24" t="s">
        <v>355</v>
      </c>
      <c r="E14" s="25">
        <v>1</v>
      </c>
      <c r="F14" s="21" t="s">
        <v>62</v>
      </c>
      <c r="G14" s="24" t="s">
        <v>356</v>
      </c>
      <c r="H14" s="24"/>
    </row>
    <row r="15" spans="1:8" ht="30" customHeight="1" x14ac:dyDescent="0.2">
      <c r="A15" s="17" t="s">
        <v>334</v>
      </c>
      <c r="B15" s="17" t="s">
        <v>335</v>
      </c>
      <c r="C15" s="18" t="s">
        <v>357</v>
      </c>
      <c r="D15" s="19" t="s">
        <v>358</v>
      </c>
      <c r="E15" s="20">
        <v>2</v>
      </c>
      <c r="F15" s="21" t="s">
        <v>49</v>
      </c>
      <c r="G15" s="19"/>
      <c r="H15" s="19"/>
    </row>
    <row r="16" spans="1:8" ht="30" customHeight="1" x14ac:dyDescent="0.2">
      <c r="A16" s="22" t="s">
        <v>334</v>
      </c>
      <c r="B16" s="22" t="s">
        <v>335</v>
      </c>
      <c r="C16" s="23" t="s">
        <v>359</v>
      </c>
      <c r="D16" s="24" t="s">
        <v>360</v>
      </c>
      <c r="E16" s="20">
        <v>2</v>
      </c>
      <c r="F16" s="21" t="s">
        <v>62</v>
      </c>
      <c r="G16" s="24" t="s">
        <v>361</v>
      </c>
      <c r="H16" s="24"/>
    </row>
    <row r="17" spans="1:8" ht="30" customHeight="1" x14ac:dyDescent="0.2">
      <c r="A17" s="17" t="s">
        <v>334</v>
      </c>
      <c r="B17" s="17" t="s">
        <v>335</v>
      </c>
      <c r="C17" s="18" t="s">
        <v>362</v>
      </c>
      <c r="D17" s="19" t="s">
        <v>363</v>
      </c>
      <c r="E17" s="20">
        <v>2</v>
      </c>
      <c r="F17" s="21" t="s">
        <v>49</v>
      </c>
      <c r="G17" s="19"/>
      <c r="H17" s="19"/>
    </row>
    <row r="18" spans="1:8" ht="30" customHeight="1" x14ac:dyDescent="0.2">
      <c r="A18" s="22" t="s">
        <v>334</v>
      </c>
      <c r="B18" s="22" t="s">
        <v>335</v>
      </c>
      <c r="C18" s="23" t="s">
        <v>364</v>
      </c>
      <c r="D18" s="24" t="s">
        <v>365</v>
      </c>
      <c r="E18" s="20">
        <v>2</v>
      </c>
      <c r="F18" s="21" t="s">
        <v>49</v>
      </c>
      <c r="G18" s="24"/>
      <c r="H18" s="24"/>
    </row>
    <row r="19" spans="1:8" ht="18" customHeight="1" x14ac:dyDescent="0.2">
      <c r="A19" s="16" t="s">
        <v>366</v>
      </c>
      <c r="B19" s="16" t="s">
        <v>367</v>
      </c>
      <c r="C19" s="16"/>
      <c r="D19" s="16"/>
      <c r="E19" s="16"/>
      <c r="F19" s="16"/>
      <c r="G19" s="16"/>
      <c r="H19" s="16"/>
    </row>
    <row r="20" spans="1:8" ht="30" customHeight="1" x14ac:dyDescent="0.2">
      <c r="A20" s="17" t="s">
        <v>366</v>
      </c>
      <c r="B20" s="17" t="s">
        <v>367</v>
      </c>
      <c r="C20" s="18" t="s">
        <v>368</v>
      </c>
      <c r="D20" s="19" t="s">
        <v>369</v>
      </c>
      <c r="E20" s="25">
        <v>1</v>
      </c>
      <c r="F20" s="21" t="s">
        <v>122</v>
      </c>
      <c r="G20" s="19" t="s">
        <v>370</v>
      </c>
      <c r="H20" s="19"/>
    </row>
    <row r="21" spans="1:8" ht="30" customHeight="1" x14ac:dyDescent="0.2">
      <c r="A21" s="22" t="s">
        <v>366</v>
      </c>
      <c r="B21" s="22" t="s">
        <v>367</v>
      </c>
      <c r="C21" s="23" t="s">
        <v>371</v>
      </c>
      <c r="D21" s="24" t="s">
        <v>372</v>
      </c>
      <c r="E21" s="25">
        <v>1</v>
      </c>
      <c r="F21" s="21" t="s">
        <v>62</v>
      </c>
      <c r="G21" s="24" t="s">
        <v>373</v>
      </c>
      <c r="H21" s="24"/>
    </row>
    <row r="22" spans="1:8" ht="30" customHeight="1" x14ac:dyDescent="0.2">
      <c r="A22" s="17" t="s">
        <v>366</v>
      </c>
      <c r="B22" s="17" t="s">
        <v>367</v>
      </c>
      <c r="C22" s="18" t="s">
        <v>374</v>
      </c>
      <c r="D22" s="19" t="s">
        <v>375</v>
      </c>
      <c r="E22" s="20">
        <v>2</v>
      </c>
      <c r="F22" s="21" t="s">
        <v>49</v>
      </c>
      <c r="G22" s="19"/>
      <c r="H22" s="19"/>
    </row>
    <row r="23" spans="1:8" ht="30" customHeight="1" x14ac:dyDescent="0.2">
      <c r="A23" s="22" t="s">
        <v>366</v>
      </c>
      <c r="B23" s="22" t="s">
        <v>367</v>
      </c>
      <c r="C23" s="23" t="s">
        <v>376</v>
      </c>
      <c r="D23" s="24" t="s">
        <v>377</v>
      </c>
      <c r="E23" s="20">
        <v>2</v>
      </c>
      <c r="F23" s="21" t="s">
        <v>49</v>
      </c>
      <c r="G23" s="24"/>
      <c r="H23" s="24"/>
    </row>
    <row r="24" spans="1:8" ht="30" customHeight="1" x14ac:dyDescent="0.2">
      <c r="A24" s="17" t="s">
        <v>366</v>
      </c>
      <c r="B24" s="17" t="s">
        <v>367</v>
      </c>
      <c r="C24" s="18" t="s">
        <v>378</v>
      </c>
      <c r="D24" s="19" t="s">
        <v>379</v>
      </c>
      <c r="E24" s="26">
        <v>3</v>
      </c>
      <c r="F24" s="21" t="s">
        <v>49</v>
      </c>
      <c r="G24" s="19"/>
      <c r="H24" s="19"/>
    </row>
    <row r="25" spans="1:8" ht="30" customHeight="1" x14ac:dyDescent="0.2">
      <c r="A25" s="22" t="s">
        <v>366</v>
      </c>
      <c r="B25" s="22" t="s">
        <v>367</v>
      </c>
      <c r="C25" s="23" t="s">
        <v>380</v>
      </c>
      <c r="D25" s="24" t="s">
        <v>381</v>
      </c>
      <c r="E25" s="26">
        <v>3</v>
      </c>
      <c r="F25" s="21" t="s">
        <v>49</v>
      </c>
      <c r="G25" s="24"/>
      <c r="H25" s="24"/>
    </row>
    <row r="26" spans="1:8" ht="30" customHeight="1" x14ac:dyDescent="0.2">
      <c r="A26" s="17" t="s">
        <v>366</v>
      </c>
      <c r="B26" s="17" t="s">
        <v>367</v>
      </c>
      <c r="C26" s="18" t="s">
        <v>382</v>
      </c>
      <c r="D26" s="19" t="s">
        <v>383</v>
      </c>
      <c r="E26" s="26">
        <v>3</v>
      </c>
      <c r="F26" s="21" t="s">
        <v>49</v>
      </c>
      <c r="G26" s="19"/>
      <c r="H26" s="19"/>
    </row>
    <row r="27" spans="1:8" ht="30" customHeight="1" x14ac:dyDescent="0.2">
      <c r="A27" s="22" t="s">
        <v>366</v>
      </c>
      <c r="B27" s="22" t="s">
        <v>367</v>
      </c>
      <c r="C27" s="23" t="s">
        <v>384</v>
      </c>
      <c r="D27" s="24" t="s">
        <v>385</v>
      </c>
      <c r="E27" s="26">
        <v>3</v>
      </c>
      <c r="F27" s="21" t="s">
        <v>49</v>
      </c>
      <c r="G27" s="24"/>
      <c r="H27" s="24"/>
    </row>
    <row r="28" spans="1:8" ht="18" customHeight="1" x14ac:dyDescent="0.2">
      <c r="A28" s="16" t="s">
        <v>386</v>
      </c>
      <c r="B28" s="16" t="s">
        <v>387</v>
      </c>
      <c r="C28" s="16"/>
      <c r="D28" s="16"/>
      <c r="E28" s="16"/>
      <c r="F28" s="16"/>
      <c r="G28" s="16"/>
      <c r="H28" s="16"/>
    </row>
    <row r="29" spans="1:8" ht="30" customHeight="1" x14ac:dyDescent="0.2">
      <c r="A29" s="17" t="s">
        <v>386</v>
      </c>
      <c r="B29" s="17" t="s">
        <v>387</v>
      </c>
      <c r="C29" s="18" t="s">
        <v>388</v>
      </c>
      <c r="D29" s="19" t="s">
        <v>389</v>
      </c>
      <c r="E29" s="25">
        <v>1</v>
      </c>
      <c r="F29" s="21" t="s">
        <v>49</v>
      </c>
      <c r="G29" s="19"/>
      <c r="H29" s="19"/>
    </row>
    <row r="30" spans="1:8" ht="30" customHeight="1" x14ac:dyDescent="0.2">
      <c r="A30" s="22" t="s">
        <v>386</v>
      </c>
      <c r="B30" s="22" t="s">
        <v>387</v>
      </c>
      <c r="C30" s="23" t="s">
        <v>390</v>
      </c>
      <c r="D30" s="24" t="s">
        <v>391</v>
      </c>
      <c r="E30" s="25">
        <v>1</v>
      </c>
      <c r="F30" s="21" t="s">
        <v>62</v>
      </c>
      <c r="G30" s="24" t="s">
        <v>392</v>
      </c>
      <c r="H30" s="24"/>
    </row>
    <row r="31" spans="1:8" ht="30" customHeight="1" x14ac:dyDescent="0.2">
      <c r="A31" s="17" t="s">
        <v>386</v>
      </c>
      <c r="B31" s="17" t="s">
        <v>387</v>
      </c>
      <c r="C31" s="18" t="s">
        <v>393</v>
      </c>
      <c r="D31" s="19" t="s">
        <v>394</v>
      </c>
      <c r="E31" s="20">
        <v>2</v>
      </c>
      <c r="F31" s="21" t="s">
        <v>49</v>
      </c>
      <c r="G31" s="19"/>
      <c r="H31" s="19"/>
    </row>
    <row r="32" spans="1:8" ht="30" customHeight="1" x14ac:dyDescent="0.2">
      <c r="A32" s="22" t="s">
        <v>386</v>
      </c>
      <c r="B32" s="22" t="s">
        <v>387</v>
      </c>
      <c r="C32" s="23" t="s">
        <v>395</v>
      </c>
      <c r="D32" s="24" t="s">
        <v>396</v>
      </c>
      <c r="E32" s="20">
        <v>2</v>
      </c>
      <c r="F32" s="21" t="s">
        <v>49</v>
      </c>
      <c r="G32" s="24"/>
      <c r="H32" s="24"/>
    </row>
    <row r="33" spans="1:8" ht="30" customHeight="1" x14ac:dyDescent="0.2">
      <c r="A33" s="17" t="s">
        <v>386</v>
      </c>
      <c r="B33" s="17" t="s">
        <v>387</v>
      </c>
      <c r="C33" s="18" t="s">
        <v>397</v>
      </c>
      <c r="D33" s="19" t="s">
        <v>398</v>
      </c>
      <c r="E33" s="26">
        <v>3</v>
      </c>
      <c r="F33" s="21" t="s">
        <v>49</v>
      </c>
      <c r="G33" s="19"/>
      <c r="H33" s="19"/>
    </row>
    <row r="34" spans="1:8" ht="30" customHeight="1" x14ac:dyDescent="0.2">
      <c r="A34" s="22" t="s">
        <v>386</v>
      </c>
      <c r="B34" s="22" t="s">
        <v>387</v>
      </c>
      <c r="C34" s="23" t="s">
        <v>399</v>
      </c>
      <c r="D34" s="24" t="s">
        <v>400</v>
      </c>
      <c r="E34" s="26">
        <v>3</v>
      </c>
      <c r="F34" s="21" t="s">
        <v>49</v>
      </c>
      <c r="G34" s="24"/>
      <c r="H34" s="24"/>
    </row>
    <row r="35" spans="1:8" ht="18" customHeight="1" x14ac:dyDescent="0.2">
      <c r="A35" s="16" t="s">
        <v>401</v>
      </c>
      <c r="B35" s="16" t="s">
        <v>402</v>
      </c>
      <c r="C35" s="16"/>
      <c r="D35" s="16"/>
      <c r="E35" s="16"/>
      <c r="F35" s="16"/>
      <c r="G35" s="16"/>
      <c r="H35" s="16"/>
    </row>
    <row r="36" spans="1:8" ht="30" customHeight="1" x14ac:dyDescent="0.2">
      <c r="A36" s="17" t="s">
        <v>401</v>
      </c>
      <c r="B36" s="17" t="s">
        <v>402</v>
      </c>
      <c r="C36" s="18" t="s">
        <v>403</v>
      </c>
      <c r="D36" s="19" t="s">
        <v>404</v>
      </c>
      <c r="E36" s="20">
        <v>2</v>
      </c>
      <c r="F36" s="21" t="s">
        <v>49</v>
      </c>
      <c r="G36" s="19"/>
      <c r="H36" s="19"/>
    </row>
    <row r="37" spans="1:8" ht="30" customHeight="1" x14ac:dyDescent="0.2">
      <c r="A37" s="22" t="s">
        <v>401</v>
      </c>
      <c r="B37" s="22" t="s">
        <v>402</v>
      </c>
      <c r="C37" s="23" t="s">
        <v>405</v>
      </c>
      <c r="D37" s="24" t="s">
        <v>406</v>
      </c>
      <c r="E37" s="20">
        <v>2</v>
      </c>
      <c r="F37" s="21" t="s">
        <v>49</v>
      </c>
      <c r="G37" s="24"/>
      <c r="H37" s="24"/>
    </row>
    <row r="38" spans="1:8" ht="30" customHeight="1" x14ac:dyDescent="0.2">
      <c r="A38" s="17" t="s">
        <v>401</v>
      </c>
      <c r="B38" s="17" t="s">
        <v>402</v>
      </c>
      <c r="C38" s="18" t="s">
        <v>407</v>
      </c>
      <c r="D38" s="19" t="s">
        <v>408</v>
      </c>
      <c r="E38" s="20">
        <v>2</v>
      </c>
      <c r="F38" s="21" t="s">
        <v>49</v>
      </c>
      <c r="G38" s="19"/>
      <c r="H38" s="19"/>
    </row>
    <row r="39" spans="1:8" ht="30" customHeight="1" x14ac:dyDescent="0.2">
      <c r="A39" s="22" t="s">
        <v>401</v>
      </c>
      <c r="B39" s="22" t="s">
        <v>402</v>
      </c>
      <c r="C39" s="23" t="s">
        <v>409</v>
      </c>
      <c r="D39" s="24" t="s">
        <v>410</v>
      </c>
      <c r="E39" s="20">
        <v>2</v>
      </c>
      <c r="F39" s="21" t="s">
        <v>49</v>
      </c>
      <c r="G39" s="24"/>
      <c r="H39" s="24"/>
    </row>
    <row r="40" spans="1:8" ht="30" customHeight="1" x14ac:dyDescent="0.2">
      <c r="A40" s="17" t="s">
        <v>401</v>
      </c>
      <c r="B40" s="17" t="s">
        <v>402</v>
      </c>
      <c r="C40" s="18" t="s">
        <v>411</v>
      </c>
      <c r="D40" s="19" t="s">
        <v>412</v>
      </c>
      <c r="E40" s="20">
        <v>2</v>
      </c>
      <c r="F40" s="21" t="s">
        <v>49</v>
      </c>
      <c r="G40" s="19"/>
      <c r="H40" s="19"/>
    </row>
    <row r="41" spans="1:8" ht="30" customHeight="1" x14ac:dyDescent="0.2">
      <c r="A41" s="22" t="s">
        <v>401</v>
      </c>
      <c r="B41" s="22" t="s">
        <v>402</v>
      </c>
      <c r="C41" s="23" t="s">
        <v>413</v>
      </c>
      <c r="D41" s="24" t="s">
        <v>414</v>
      </c>
      <c r="E41" s="26">
        <v>3</v>
      </c>
      <c r="F41" s="21" t="s">
        <v>49</v>
      </c>
      <c r="G41" s="24"/>
      <c r="H41" s="24"/>
    </row>
    <row r="42" spans="1:8" ht="30" customHeight="1" x14ac:dyDescent="0.2">
      <c r="A42" s="17" t="s">
        <v>401</v>
      </c>
      <c r="B42" s="17" t="s">
        <v>402</v>
      </c>
      <c r="C42" s="18" t="s">
        <v>415</v>
      </c>
      <c r="D42" s="19" t="s">
        <v>416</v>
      </c>
      <c r="E42" s="26">
        <v>3</v>
      </c>
      <c r="F42" s="21" t="s">
        <v>49</v>
      </c>
      <c r="G42" s="19"/>
      <c r="H42" s="19"/>
    </row>
    <row r="43" spans="1:8" ht="30" customHeight="1" x14ac:dyDescent="0.2">
      <c r="A43" s="22" t="s">
        <v>401</v>
      </c>
      <c r="B43" s="22" t="s">
        <v>402</v>
      </c>
      <c r="C43" s="23" t="s">
        <v>417</v>
      </c>
      <c r="D43" s="24" t="s">
        <v>418</v>
      </c>
      <c r="E43" s="26">
        <v>3</v>
      </c>
      <c r="F43" s="21" t="s">
        <v>49</v>
      </c>
      <c r="G43" s="24"/>
      <c r="H43" s="24"/>
    </row>
    <row r="44" spans="1:8" ht="18" customHeight="1" x14ac:dyDescent="0.2">
      <c r="A44" s="16" t="s">
        <v>419</v>
      </c>
      <c r="B44" s="16" t="s">
        <v>420</v>
      </c>
      <c r="C44" s="16"/>
      <c r="D44" s="16"/>
      <c r="E44" s="16"/>
      <c r="F44" s="16"/>
      <c r="G44" s="16"/>
      <c r="H44" s="16"/>
    </row>
    <row r="45" spans="1:8" ht="30" customHeight="1" x14ac:dyDescent="0.2">
      <c r="A45" s="17" t="s">
        <v>419</v>
      </c>
      <c r="B45" s="17" t="s">
        <v>420</v>
      </c>
      <c r="C45" s="18" t="s">
        <v>421</v>
      </c>
      <c r="D45" s="19" t="s">
        <v>422</v>
      </c>
      <c r="E45" s="20">
        <v>2</v>
      </c>
      <c r="F45" s="21" t="s">
        <v>49</v>
      </c>
      <c r="G45" s="19"/>
      <c r="H45" s="19"/>
    </row>
    <row r="46" spans="1:8" ht="30" customHeight="1" x14ac:dyDescent="0.2">
      <c r="A46" s="22" t="s">
        <v>419</v>
      </c>
      <c r="B46" s="22" t="s">
        <v>420</v>
      </c>
      <c r="C46" s="23" t="s">
        <v>423</v>
      </c>
      <c r="D46" s="24" t="s">
        <v>424</v>
      </c>
      <c r="E46" s="20">
        <v>2</v>
      </c>
      <c r="F46" s="21" t="s">
        <v>49</v>
      </c>
      <c r="G46" s="24"/>
      <c r="H46" s="24"/>
    </row>
    <row r="47" spans="1:8" ht="30" customHeight="1" x14ac:dyDescent="0.2">
      <c r="A47" s="17" t="s">
        <v>419</v>
      </c>
      <c r="B47" s="17" t="s">
        <v>420</v>
      </c>
      <c r="C47" s="18" t="s">
        <v>425</v>
      </c>
      <c r="D47" s="19" t="s">
        <v>426</v>
      </c>
      <c r="E47" s="20">
        <v>2</v>
      </c>
      <c r="F47" s="21" t="s">
        <v>49</v>
      </c>
      <c r="G47" s="19"/>
      <c r="H47" s="19"/>
    </row>
    <row r="48" spans="1:8" ht="30" customHeight="1" x14ac:dyDescent="0.2">
      <c r="A48" s="22" t="s">
        <v>419</v>
      </c>
      <c r="B48" s="22" t="s">
        <v>420</v>
      </c>
      <c r="C48" s="23" t="s">
        <v>427</v>
      </c>
      <c r="D48" s="24" t="s">
        <v>428</v>
      </c>
      <c r="E48" s="26">
        <v>3</v>
      </c>
      <c r="F48" s="21" t="s">
        <v>49</v>
      </c>
      <c r="G48" s="24"/>
      <c r="H48" s="24"/>
    </row>
    <row r="49" spans="1:8" ht="18" customHeight="1" x14ac:dyDescent="0.2">
      <c r="A49" s="16" t="s">
        <v>429</v>
      </c>
      <c r="B49" s="16" t="s">
        <v>430</v>
      </c>
      <c r="C49" s="16"/>
      <c r="D49" s="16"/>
      <c r="E49" s="16"/>
      <c r="F49" s="16"/>
      <c r="G49" s="16"/>
      <c r="H49" s="16"/>
    </row>
    <row r="50" spans="1:8" ht="30" customHeight="1" x14ac:dyDescent="0.2">
      <c r="A50" s="17" t="s">
        <v>429</v>
      </c>
      <c r="B50" s="17" t="s">
        <v>430</v>
      </c>
      <c r="C50" s="18" t="s">
        <v>431</v>
      </c>
      <c r="D50" s="19" t="s">
        <v>432</v>
      </c>
      <c r="E50" s="26">
        <v>3</v>
      </c>
      <c r="F50" s="21" t="s">
        <v>49</v>
      </c>
      <c r="G50" s="19"/>
      <c r="H50" s="19"/>
    </row>
    <row r="51" spans="1:8" ht="30" customHeight="1" x14ac:dyDescent="0.2">
      <c r="A51" s="22" t="s">
        <v>429</v>
      </c>
      <c r="B51" s="22" t="s">
        <v>430</v>
      </c>
      <c r="C51" s="23" t="s">
        <v>433</v>
      </c>
      <c r="D51" s="24" t="s">
        <v>434</v>
      </c>
      <c r="E51" s="26">
        <v>3</v>
      </c>
      <c r="F51" s="21" t="s">
        <v>49</v>
      </c>
      <c r="G51" s="24"/>
      <c r="H51" s="24"/>
    </row>
    <row r="52" spans="1:8" ht="18" customHeight="1" x14ac:dyDescent="0.2">
      <c r="A52" s="16" t="s">
        <v>435</v>
      </c>
      <c r="B52" s="16" t="s">
        <v>436</v>
      </c>
      <c r="C52" s="16"/>
      <c r="D52" s="16"/>
      <c r="E52" s="16"/>
      <c r="F52" s="16"/>
      <c r="G52" s="16"/>
      <c r="H52" s="16"/>
    </row>
    <row r="53" spans="1:8" ht="30" customHeight="1" x14ac:dyDescent="0.2">
      <c r="A53" s="17" t="s">
        <v>435</v>
      </c>
      <c r="B53" s="17" t="s">
        <v>436</v>
      </c>
      <c r="C53" s="18" t="s">
        <v>437</v>
      </c>
      <c r="D53" s="19" t="s">
        <v>438</v>
      </c>
      <c r="E53" s="20">
        <v>2</v>
      </c>
      <c r="F53" s="21" t="s">
        <v>49</v>
      </c>
      <c r="G53" s="19"/>
      <c r="H53" s="19"/>
    </row>
    <row r="54" spans="1:8" ht="30" customHeight="1" x14ac:dyDescent="0.2">
      <c r="A54" s="22" t="s">
        <v>435</v>
      </c>
      <c r="B54" s="22" t="s">
        <v>436</v>
      </c>
      <c r="C54" s="23" t="s">
        <v>439</v>
      </c>
      <c r="D54" s="24" t="s">
        <v>440</v>
      </c>
      <c r="E54" s="20">
        <v>2</v>
      </c>
      <c r="F54" s="21" t="s">
        <v>49</v>
      </c>
      <c r="G54" s="24"/>
      <c r="H54" s="24"/>
    </row>
    <row r="55" spans="1:8" ht="30" customHeight="1" x14ac:dyDescent="0.2">
      <c r="A55" s="17" t="s">
        <v>435</v>
      </c>
      <c r="B55" s="17" t="s">
        <v>436</v>
      </c>
      <c r="C55" s="18" t="s">
        <v>441</v>
      </c>
      <c r="D55" s="19" t="s">
        <v>442</v>
      </c>
      <c r="E55" s="20">
        <v>2</v>
      </c>
      <c r="F55" s="21" t="s">
        <v>49</v>
      </c>
      <c r="G55" s="19"/>
      <c r="H55" s="19"/>
    </row>
    <row r="56" spans="1:8" ht="30" customHeight="1" x14ac:dyDescent="0.2">
      <c r="A56" s="22" t="s">
        <v>435</v>
      </c>
      <c r="B56" s="22" t="s">
        <v>436</v>
      </c>
      <c r="C56" s="23" t="s">
        <v>443</v>
      </c>
      <c r="D56" s="24" t="s">
        <v>444</v>
      </c>
      <c r="E56" s="20">
        <v>2</v>
      </c>
      <c r="F56" s="21" t="s">
        <v>49</v>
      </c>
      <c r="G56" s="24"/>
      <c r="H56" s="24"/>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H3" sqref="H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445</v>
      </c>
      <c r="B2" s="16" t="s">
        <v>446</v>
      </c>
      <c r="C2" s="16"/>
      <c r="D2" s="16"/>
      <c r="E2" s="16"/>
      <c r="F2" s="16"/>
      <c r="G2" s="16"/>
      <c r="H2" s="16"/>
    </row>
    <row r="3" spans="1:8" ht="30" customHeight="1" x14ac:dyDescent="0.2">
      <c r="A3" s="17" t="s">
        <v>445</v>
      </c>
      <c r="B3" s="17" t="s">
        <v>446</v>
      </c>
      <c r="C3" s="18" t="s">
        <v>447</v>
      </c>
      <c r="D3" s="19" t="s">
        <v>448</v>
      </c>
      <c r="E3" s="20">
        <v>2</v>
      </c>
      <c r="F3" s="21" t="s">
        <v>49</v>
      </c>
      <c r="G3" s="27"/>
      <c r="H3" s="19"/>
    </row>
    <row r="4" spans="1:8" ht="30" customHeight="1" x14ac:dyDescent="0.2">
      <c r="A4" s="22" t="s">
        <v>445</v>
      </c>
      <c r="B4" s="22" t="s">
        <v>446</v>
      </c>
      <c r="C4" s="23" t="s">
        <v>449</v>
      </c>
      <c r="D4" s="24" t="s">
        <v>450</v>
      </c>
      <c r="E4" s="20">
        <v>2</v>
      </c>
      <c r="F4" s="21" t="s">
        <v>49</v>
      </c>
      <c r="G4" s="24"/>
      <c r="H4" s="24"/>
    </row>
    <row r="5" spans="1:8" ht="30" customHeight="1" x14ac:dyDescent="0.2">
      <c r="A5" s="17" t="s">
        <v>445</v>
      </c>
      <c r="B5" s="17" t="s">
        <v>446</v>
      </c>
      <c r="C5" s="18" t="s">
        <v>451</v>
      </c>
      <c r="D5" s="19" t="s">
        <v>452</v>
      </c>
      <c r="E5" s="20">
        <v>2</v>
      </c>
      <c r="F5" s="21" t="s">
        <v>49</v>
      </c>
      <c r="G5" s="19"/>
      <c r="H5" s="19"/>
    </row>
    <row r="6" spans="1:8" ht="18" customHeight="1" x14ac:dyDescent="0.2">
      <c r="A6" s="16" t="s">
        <v>453</v>
      </c>
      <c r="B6" s="16" t="s">
        <v>454</v>
      </c>
      <c r="C6" s="16"/>
      <c r="D6" s="16"/>
      <c r="E6" s="16"/>
      <c r="F6" s="16"/>
      <c r="G6" s="16"/>
      <c r="H6" s="16"/>
    </row>
    <row r="7" spans="1:8" ht="30" customHeight="1" x14ac:dyDescent="0.2">
      <c r="A7" s="17" t="s">
        <v>453</v>
      </c>
      <c r="B7" s="17" t="s">
        <v>454</v>
      </c>
      <c r="C7" s="18" t="s">
        <v>455</v>
      </c>
      <c r="D7" s="19" t="s">
        <v>456</v>
      </c>
      <c r="E7" s="25">
        <v>1</v>
      </c>
      <c r="F7" s="21" t="s">
        <v>62</v>
      </c>
      <c r="G7" s="19" t="s">
        <v>457</v>
      </c>
      <c r="H7" s="19"/>
    </row>
    <row r="8" spans="1:8" ht="30" customHeight="1" x14ac:dyDescent="0.2">
      <c r="A8" s="22" t="s">
        <v>453</v>
      </c>
      <c r="B8" s="22" t="s">
        <v>454</v>
      </c>
      <c r="C8" s="23" t="s">
        <v>458</v>
      </c>
      <c r="D8" s="24" t="s">
        <v>459</v>
      </c>
      <c r="E8" s="25">
        <v>1</v>
      </c>
      <c r="F8" s="21" t="s">
        <v>62</v>
      </c>
      <c r="G8" s="24" t="s">
        <v>460</v>
      </c>
      <c r="H8" s="24"/>
    </row>
    <row r="9" spans="1:8" ht="30" customHeight="1" x14ac:dyDescent="0.2">
      <c r="A9" s="17" t="s">
        <v>453</v>
      </c>
      <c r="B9" s="17" t="s">
        <v>454</v>
      </c>
      <c r="C9" s="18" t="s">
        <v>461</v>
      </c>
      <c r="D9" s="19" t="s">
        <v>462</v>
      </c>
      <c r="E9" s="25">
        <v>1</v>
      </c>
      <c r="F9" s="21" t="s">
        <v>49</v>
      </c>
      <c r="G9" s="19"/>
      <c r="H9" s="19"/>
    </row>
    <row r="10" spans="1:8" ht="30" customHeight="1" x14ac:dyDescent="0.2">
      <c r="A10" s="22" t="s">
        <v>453</v>
      </c>
      <c r="B10" s="22" t="s">
        <v>454</v>
      </c>
      <c r="C10" s="23" t="s">
        <v>463</v>
      </c>
      <c r="D10" s="24" t="s">
        <v>464</v>
      </c>
      <c r="E10" s="25">
        <v>1</v>
      </c>
      <c r="F10" s="21" t="s">
        <v>49</v>
      </c>
      <c r="G10" s="24"/>
      <c r="H10" s="24"/>
    </row>
    <row r="11" spans="1:8" ht="18" customHeight="1" x14ac:dyDescent="0.2">
      <c r="A11" s="16" t="s">
        <v>465</v>
      </c>
      <c r="B11" s="16" t="s">
        <v>466</v>
      </c>
      <c r="C11" s="16"/>
      <c r="D11" s="16"/>
      <c r="E11" s="16"/>
      <c r="F11" s="16"/>
      <c r="G11" s="16"/>
      <c r="H11" s="16"/>
    </row>
    <row r="12" spans="1:8" ht="30" customHeight="1" x14ac:dyDescent="0.2">
      <c r="A12" s="17" t="s">
        <v>465</v>
      </c>
      <c r="B12" s="17" t="s">
        <v>466</v>
      </c>
      <c r="C12" s="18" t="s">
        <v>467</v>
      </c>
      <c r="D12" s="19" t="s">
        <v>468</v>
      </c>
      <c r="E12" s="20">
        <v>2</v>
      </c>
      <c r="F12" s="21" t="s">
        <v>49</v>
      </c>
      <c r="G12" s="19"/>
      <c r="H12" s="19"/>
    </row>
    <row r="13" spans="1:8" ht="30" customHeight="1" x14ac:dyDescent="0.2">
      <c r="A13" s="22" t="s">
        <v>465</v>
      </c>
      <c r="B13" s="22" t="s">
        <v>466</v>
      </c>
      <c r="C13" s="23" t="s">
        <v>469</v>
      </c>
      <c r="D13" s="24" t="s">
        <v>470</v>
      </c>
      <c r="E13" s="20">
        <v>2</v>
      </c>
      <c r="F13" s="21" t="s">
        <v>49</v>
      </c>
      <c r="G13" s="24"/>
      <c r="H13" s="24"/>
    </row>
    <row r="14" spans="1:8" ht="18" customHeight="1" x14ac:dyDescent="0.2">
      <c r="A14" s="16" t="s">
        <v>471</v>
      </c>
      <c r="B14" s="16" t="s">
        <v>472</v>
      </c>
      <c r="C14" s="16"/>
      <c r="D14" s="16"/>
      <c r="E14" s="16"/>
      <c r="F14" s="16"/>
      <c r="G14" s="16"/>
      <c r="H14" s="16"/>
    </row>
    <row r="15" spans="1:8" ht="30" customHeight="1" x14ac:dyDescent="0.2">
      <c r="A15" s="17" t="s">
        <v>471</v>
      </c>
      <c r="B15" s="17" t="s">
        <v>472</v>
      </c>
      <c r="C15" s="18" t="s">
        <v>473</v>
      </c>
      <c r="D15" s="19" t="s">
        <v>474</v>
      </c>
      <c r="E15" s="25">
        <v>1</v>
      </c>
      <c r="F15" s="21" t="s">
        <v>49</v>
      </c>
      <c r="G15" s="19"/>
      <c r="H15" s="19"/>
    </row>
    <row r="16" spans="1:8" ht="30" customHeight="1" x14ac:dyDescent="0.2">
      <c r="A16" s="22" t="s">
        <v>471</v>
      </c>
      <c r="B16" s="22" t="s">
        <v>472</v>
      </c>
      <c r="C16" s="23" t="s">
        <v>475</v>
      </c>
      <c r="D16" s="24" t="s">
        <v>476</v>
      </c>
      <c r="E16" s="25">
        <v>1</v>
      </c>
      <c r="F16" s="21" t="s">
        <v>49</v>
      </c>
      <c r="G16" s="24"/>
      <c r="H16" s="24"/>
    </row>
    <row r="17" spans="1:8" ht="30" customHeight="1" x14ac:dyDescent="0.2">
      <c r="A17" s="17" t="s">
        <v>471</v>
      </c>
      <c r="B17" s="17" t="s">
        <v>472</v>
      </c>
      <c r="C17" s="18" t="s">
        <v>477</v>
      </c>
      <c r="D17" s="19" t="s">
        <v>478</v>
      </c>
      <c r="E17" s="20">
        <v>2</v>
      </c>
      <c r="F17" s="21" t="s">
        <v>49</v>
      </c>
      <c r="G17" s="19"/>
      <c r="H17" s="19"/>
    </row>
    <row r="18" spans="1:8" ht="30" customHeight="1" x14ac:dyDescent="0.2">
      <c r="A18" s="22" t="s">
        <v>471</v>
      </c>
      <c r="B18" s="22" t="s">
        <v>472</v>
      </c>
      <c r="C18" s="23" t="s">
        <v>479</v>
      </c>
      <c r="D18" s="24" t="s">
        <v>480</v>
      </c>
      <c r="E18" s="20">
        <v>2</v>
      </c>
      <c r="F18" s="21" t="s">
        <v>49</v>
      </c>
      <c r="G18" s="24"/>
      <c r="H18" s="24"/>
    </row>
    <row r="19" spans="1:8" ht="30" customHeight="1" x14ac:dyDescent="0.2">
      <c r="A19" s="17" t="s">
        <v>471</v>
      </c>
      <c r="B19" s="17" t="s">
        <v>472</v>
      </c>
      <c r="C19" s="18" t="s">
        <v>481</v>
      </c>
      <c r="D19" s="19" t="s">
        <v>482</v>
      </c>
      <c r="E19" s="20">
        <v>2</v>
      </c>
      <c r="F19" s="21" t="s">
        <v>49</v>
      </c>
      <c r="G19" s="19"/>
      <c r="H19" s="19"/>
    </row>
    <row r="20" spans="1:8" ht="18" customHeight="1" x14ac:dyDescent="0.2">
      <c r="A20" s="16" t="s">
        <v>483</v>
      </c>
      <c r="B20" s="16" t="s">
        <v>484</v>
      </c>
      <c r="C20" s="16"/>
      <c r="D20" s="16"/>
      <c r="E20" s="16"/>
      <c r="F20" s="16"/>
      <c r="G20" s="16"/>
      <c r="H20" s="16"/>
    </row>
    <row r="21" spans="1:8" ht="30" customHeight="1" x14ac:dyDescent="0.2">
      <c r="A21" s="17" t="s">
        <v>483</v>
      </c>
      <c r="B21" s="17" t="s">
        <v>484</v>
      </c>
      <c r="C21" s="18" t="s">
        <v>485</v>
      </c>
      <c r="D21" s="19" t="s">
        <v>486</v>
      </c>
      <c r="E21" s="20">
        <v>2</v>
      </c>
      <c r="F21" s="21" t="s">
        <v>49</v>
      </c>
      <c r="G21" s="19"/>
      <c r="H21" s="19"/>
    </row>
    <row r="22" spans="1:8" ht="30" customHeight="1" x14ac:dyDescent="0.2">
      <c r="A22" s="22" t="s">
        <v>483</v>
      </c>
      <c r="B22" s="22" t="s">
        <v>484</v>
      </c>
      <c r="C22" s="23" t="s">
        <v>487</v>
      </c>
      <c r="D22" s="24" t="s">
        <v>488</v>
      </c>
      <c r="E22" s="20">
        <v>2</v>
      </c>
      <c r="F22" s="21" t="s">
        <v>49</v>
      </c>
      <c r="G22" s="24"/>
      <c r="H22" s="24"/>
    </row>
    <row r="23" spans="1:8" ht="30" customHeight="1" x14ac:dyDescent="0.2">
      <c r="A23" s="17" t="s">
        <v>483</v>
      </c>
      <c r="B23" s="17" t="s">
        <v>484</v>
      </c>
      <c r="C23" s="18" t="s">
        <v>489</v>
      </c>
      <c r="D23" s="19" t="s">
        <v>490</v>
      </c>
      <c r="E23" s="26">
        <v>3</v>
      </c>
      <c r="F23" s="21" t="s">
        <v>49</v>
      </c>
      <c r="G23" s="19"/>
      <c r="H23" s="19"/>
    </row>
    <row r="24" spans="1:8" ht="18" customHeight="1" x14ac:dyDescent="0.2">
      <c r="A24" s="16" t="s">
        <v>491</v>
      </c>
      <c r="B24" s="16" t="s">
        <v>492</v>
      </c>
      <c r="C24" s="16"/>
      <c r="D24" s="16"/>
      <c r="E24" s="16"/>
      <c r="F24" s="16"/>
      <c r="G24" s="16"/>
      <c r="H24" s="16"/>
    </row>
    <row r="25" spans="1:8" ht="30" customHeight="1" x14ac:dyDescent="0.2">
      <c r="A25" s="17" t="s">
        <v>491</v>
      </c>
      <c r="B25" s="17" t="s">
        <v>492</v>
      </c>
      <c r="C25" s="18" t="s">
        <v>493</v>
      </c>
      <c r="D25" s="19" t="s">
        <v>494</v>
      </c>
      <c r="E25" s="20">
        <v>2</v>
      </c>
      <c r="F25" s="21" t="s">
        <v>49</v>
      </c>
      <c r="G25" s="19"/>
      <c r="H25" s="19"/>
    </row>
    <row r="26" spans="1:8" ht="30" customHeight="1" x14ac:dyDescent="0.2">
      <c r="A26" s="22" t="s">
        <v>491</v>
      </c>
      <c r="B26" s="22" t="s">
        <v>492</v>
      </c>
      <c r="C26" s="23" t="s">
        <v>495</v>
      </c>
      <c r="D26" s="24" t="s">
        <v>496</v>
      </c>
      <c r="E26" s="20">
        <v>2</v>
      </c>
      <c r="F26" s="21" t="s">
        <v>49</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497</v>
      </c>
      <c r="B2" s="16" t="s">
        <v>498</v>
      </c>
      <c r="C2" s="16"/>
      <c r="D2" s="16"/>
      <c r="E2" s="16"/>
      <c r="F2" s="16"/>
      <c r="G2" s="16"/>
      <c r="H2" s="16"/>
    </row>
    <row r="3" spans="1:8" ht="30" customHeight="1" x14ac:dyDescent="0.2">
      <c r="A3" s="17" t="s">
        <v>497</v>
      </c>
      <c r="B3" s="17" t="s">
        <v>498</v>
      </c>
      <c r="C3" s="18" t="s">
        <v>499</v>
      </c>
      <c r="D3" s="19" t="s">
        <v>500</v>
      </c>
      <c r="E3" s="25">
        <v>1</v>
      </c>
      <c r="F3" s="21" t="s">
        <v>122</v>
      </c>
      <c r="G3" s="19" t="s">
        <v>501</v>
      </c>
      <c r="H3" s="19"/>
    </row>
    <row r="4" spans="1:8" ht="30" customHeight="1" x14ac:dyDescent="0.2">
      <c r="A4" s="22" t="s">
        <v>497</v>
      </c>
      <c r="B4" s="22" t="s">
        <v>498</v>
      </c>
      <c r="C4" s="23" t="s">
        <v>502</v>
      </c>
      <c r="D4" s="24" t="s">
        <v>503</v>
      </c>
      <c r="E4" s="20">
        <v>2</v>
      </c>
      <c r="F4" s="21" t="s">
        <v>122</v>
      </c>
      <c r="G4" s="24" t="s">
        <v>504</v>
      </c>
      <c r="H4" s="24"/>
    </row>
    <row r="5" spans="1:8" ht="30" customHeight="1" x14ac:dyDescent="0.2">
      <c r="A5" s="17" t="s">
        <v>497</v>
      </c>
      <c r="B5" s="17" t="s">
        <v>498</v>
      </c>
      <c r="C5" s="18" t="s">
        <v>505</v>
      </c>
      <c r="D5" s="19" t="s">
        <v>506</v>
      </c>
      <c r="E5" s="26">
        <v>3</v>
      </c>
      <c r="F5" s="21" t="s">
        <v>49</v>
      </c>
      <c r="G5" s="19"/>
      <c r="H5" s="19"/>
    </row>
    <row r="6" spans="1:8" ht="30" customHeight="1" x14ac:dyDescent="0.2">
      <c r="A6" s="22" t="s">
        <v>497</v>
      </c>
      <c r="B6" s="22" t="s">
        <v>498</v>
      </c>
      <c r="C6" s="23" t="s">
        <v>507</v>
      </c>
      <c r="D6" s="24" t="s">
        <v>508</v>
      </c>
      <c r="E6" s="26">
        <v>3</v>
      </c>
      <c r="F6" s="21" t="s">
        <v>49</v>
      </c>
      <c r="G6" s="24"/>
      <c r="H6" s="24"/>
    </row>
    <row r="7" spans="1:8" ht="18" customHeight="1" x14ac:dyDescent="0.2">
      <c r="A7" s="16" t="s">
        <v>509</v>
      </c>
      <c r="B7" s="16" t="s">
        <v>510</v>
      </c>
      <c r="C7" s="16"/>
      <c r="D7" s="16"/>
      <c r="E7" s="16"/>
      <c r="F7" s="16"/>
      <c r="G7" s="16"/>
      <c r="H7" s="16"/>
    </row>
    <row r="8" spans="1:8" ht="30" customHeight="1" x14ac:dyDescent="0.2">
      <c r="A8" s="17" t="s">
        <v>509</v>
      </c>
      <c r="B8" s="17" t="s">
        <v>510</v>
      </c>
      <c r="C8" s="18" t="s">
        <v>511</v>
      </c>
      <c r="D8" s="19" t="s">
        <v>512</v>
      </c>
      <c r="E8" s="25">
        <v>1</v>
      </c>
      <c r="F8" s="21" t="s">
        <v>122</v>
      </c>
      <c r="G8" s="19" t="s">
        <v>513</v>
      </c>
      <c r="H8" s="19"/>
    </row>
    <row r="9" spans="1:8" ht="30" customHeight="1" x14ac:dyDescent="0.2">
      <c r="A9" s="22" t="s">
        <v>509</v>
      </c>
      <c r="B9" s="22" t="s">
        <v>510</v>
      </c>
      <c r="C9" s="23" t="s">
        <v>514</v>
      </c>
      <c r="D9" s="24" t="s">
        <v>515</v>
      </c>
      <c r="E9" s="25">
        <v>1</v>
      </c>
      <c r="F9" s="21" t="s">
        <v>122</v>
      </c>
      <c r="G9" s="24" t="s">
        <v>516</v>
      </c>
      <c r="H9" s="24"/>
    </row>
    <row r="10" spans="1:8" ht="30" customHeight="1" x14ac:dyDescent="0.2">
      <c r="A10" s="17" t="s">
        <v>509</v>
      </c>
      <c r="B10" s="17" t="s">
        <v>510</v>
      </c>
      <c r="C10" s="18" t="s">
        <v>517</v>
      </c>
      <c r="D10" s="19" t="s">
        <v>518</v>
      </c>
      <c r="E10" s="20">
        <v>2</v>
      </c>
      <c r="F10" s="21" t="s">
        <v>122</v>
      </c>
      <c r="G10" s="19" t="s">
        <v>519</v>
      </c>
      <c r="H10" s="19"/>
    </row>
    <row r="11" spans="1:8" ht="30" customHeight="1" x14ac:dyDescent="0.2">
      <c r="A11" s="22" t="s">
        <v>509</v>
      </c>
      <c r="B11" s="22" t="s">
        <v>510</v>
      </c>
      <c r="C11" s="23" t="s">
        <v>520</v>
      </c>
      <c r="D11" s="24" t="s">
        <v>521</v>
      </c>
      <c r="E11" s="26">
        <v>3</v>
      </c>
      <c r="F11" s="21" t="s">
        <v>49</v>
      </c>
      <c r="G11" s="24"/>
      <c r="H11" s="24"/>
    </row>
    <row r="12" spans="1:8" ht="18" customHeight="1" x14ac:dyDescent="0.2">
      <c r="A12" s="16" t="s">
        <v>522</v>
      </c>
      <c r="B12" s="16" t="s">
        <v>523</v>
      </c>
      <c r="C12" s="16"/>
      <c r="D12" s="16"/>
      <c r="E12" s="16"/>
      <c r="F12" s="16"/>
      <c r="G12" s="16"/>
      <c r="H12" s="16"/>
    </row>
    <row r="13" spans="1:8" ht="30" customHeight="1" x14ac:dyDescent="0.2">
      <c r="A13" s="17" t="s">
        <v>522</v>
      </c>
      <c r="B13" s="17" t="s">
        <v>523</v>
      </c>
      <c r="C13" s="18" t="s">
        <v>524</v>
      </c>
      <c r="D13" s="19" t="s">
        <v>525</v>
      </c>
      <c r="E13" s="25">
        <v>1</v>
      </c>
      <c r="F13" s="21" t="s">
        <v>122</v>
      </c>
      <c r="G13" s="19" t="s">
        <v>526</v>
      </c>
      <c r="H13" s="19" t="s">
        <v>527</v>
      </c>
    </row>
    <row r="14" spans="1:8" ht="30" customHeight="1" x14ac:dyDescent="0.2">
      <c r="A14" s="22" t="s">
        <v>522</v>
      </c>
      <c r="B14" s="22" t="s">
        <v>523</v>
      </c>
      <c r="C14" s="23" t="s">
        <v>528</v>
      </c>
      <c r="D14" s="24" t="s">
        <v>529</v>
      </c>
      <c r="E14" s="26">
        <v>3</v>
      </c>
      <c r="F14" s="21" t="s">
        <v>49</v>
      </c>
      <c r="G14" s="24"/>
      <c r="H14" s="24"/>
    </row>
    <row r="15" spans="1:8" ht="30" customHeight="1" x14ac:dyDescent="0.2">
      <c r="A15" s="17" t="s">
        <v>522</v>
      </c>
      <c r="B15" s="17" t="s">
        <v>523</v>
      </c>
      <c r="C15" s="18" t="s">
        <v>530</v>
      </c>
      <c r="D15" s="19" t="s">
        <v>531</v>
      </c>
      <c r="E15" s="26">
        <v>3</v>
      </c>
      <c r="F15" s="21" t="s">
        <v>49</v>
      </c>
      <c r="G15" s="19"/>
      <c r="H15" s="19"/>
    </row>
    <row r="16" spans="1:8" ht="18" customHeight="1" x14ac:dyDescent="0.2">
      <c r="A16" s="16" t="s">
        <v>532</v>
      </c>
      <c r="B16" s="16" t="s">
        <v>533</v>
      </c>
      <c r="C16" s="16"/>
      <c r="D16" s="16"/>
      <c r="E16" s="16"/>
      <c r="F16" s="16"/>
      <c r="G16" s="16"/>
      <c r="H16" s="16"/>
    </row>
    <row r="17" spans="1:8" ht="30" customHeight="1" x14ac:dyDescent="0.2">
      <c r="A17" s="17" t="s">
        <v>532</v>
      </c>
      <c r="B17" s="17" t="s">
        <v>533</v>
      </c>
      <c r="C17" s="18" t="s">
        <v>534</v>
      </c>
      <c r="D17" s="19" t="s">
        <v>535</v>
      </c>
      <c r="E17" s="20">
        <v>2</v>
      </c>
      <c r="F17" s="21" t="s">
        <v>122</v>
      </c>
      <c r="G17" s="19" t="s">
        <v>536</v>
      </c>
      <c r="H17" s="19"/>
    </row>
    <row r="18" spans="1:8" ht="30" customHeight="1" x14ac:dyDescent="0.2">
      <c r="A18" s="22" t="s">
        <v>532</v>
      </c>
      <c r="B18" s="22" t="s">
        <v>533</v>
      </c>
      <c r="C18" s="23" t="s">
        <v>537</v>
      </c>
      <c r="D18" s="24" t="s">
        <v>538</v>
      </c>
      <c r="E18" s="26">
        <v>3</v>
      </c>
      <c r="F18" s="21" t="s">
        <v>49</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activeCell="F5" sqref="F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539</v>
      </c>
      <c r="B2" s="16" t="s">
        <v>540</v>
      </c>
      <c r="C2" s="16"/>
      <c r="D2" s="16"/>
      <c r="E2" s="16"/>
      <c r="F2" s="16"/>
      <c r="G2" s="16"/>
      <c r="H2" s="16"/>
    </row>
    <row r="3" spans="1:8" ht="30" customHeight="1" x14ac:dyDescent="0.2">
      <c r="A3" s="17" t="s">
        <v>539</v>
      </c>
      <c r="B3" s="17" t="s">
        <v>540</v>
      </c>
      <c r="C3" s="18" t="s">
        <v>541</v>
      </c>
      <c r="D3" s="19" t="s">
        <v>542</v>
      </c>
      <c r="E3" s="25">
        <v>1</v>
      </c>
      <c r="F3" s="21" t="s">
        <v>62</v>
      </c>
      <c r="G3" s="19" t="s">
        <v>543</v>
      </c>
      <c r="H3" s="19"/>
    </row>
    <row r="4" spans="1:8" ht="30" customHeight="1" x14ac:dyDescent="0.2">
      <c r="A4" s="22" t="s">
        <v>539</v>
      </c>
      <c r="B4" s="22" t="s">
        <v>540</v>
      </c>
      <c r="C4" s="23" t="s">
        <v>544</v>
      </c>
      <c r="D4" s="24" t="s">
        <v>545</v>
      </c>
      <c r="E4" s="25">
        <v>1</v>
      </c>
      <c r="F4" s="21" t="s">
        <v>62</v>
      </c>
      <c r="G4" s="24" t="s">
        <v>546</v>
      </c>
      <c r="H4" s="24"/>
    </row>
    <row r="5" spans="1:8" ht="30" customHeight="1" x14ac:dyDescent="0.2">
      <c r="A5" s="17" t="s">
        <v>539</v>
      </c>
      <c r="B5" s="17" t="s">
        <v>540</v>
      </c>
      <c r="C5" s="18" t="s">
        <v>547</v>
      </c>
      <c r="D5" s="19" t="s">
        <v>548</v>
      </c>
      <c r="E5" s="25">
        <v>1</v>
      </c>
      <c r="F5" s="21" t="s">
        <v>122</v>
      </c>
      <c r="G5" s="19" t="s">
        <v>549</v>
      </c>
      <c r="H5" s="19"/>
    </row>
    <row r="6" spans="1:8" ht="18" customHeight="1" x14ac:dyDescent="0.2">
      <c r="A6" s="16" t="s">
        <v>550</v>
      </c>
      <c r="B6" s="16" t="s">
        <v>551</v>
      </c>
      <c r="C6" s="16"/>
      <c r="D6" s="16"/>
      <c r="E6" s="16"/>
      <c r="F6" s="16"/>
      <c r="G6" s="16"/>
      <c r="H6" s="16"/>
    </row>
    <row r="7" spans="1:8" ht="30" customHeight="1" x14ac:dyDescent="0.2">
      <c r="A7" s="17" t="s">
        <v>550</v>
      </c>
      <c r="B7" s="17" t="s">
        <v>551</v>
      </c>
      <c r="C7" s="18" t="s">
        <v>552</v>
      </c>
      <c r="D7" s="19" t="s">
        <v>553</v>
      </c>
      <c r="E7" s="25">
        <v>1</v>
      </c>
      <c r="F7" s="21" t="s">
        <v>62</v>
      </c>
      <c r="G7" s="19" t="s">
        <v>554</v>
      </c>
      <c r="H7" s="19"/>
    </row>
    <row r="8" spans="1:8" ht="30" customHeight="1" x14ac:dyDescent="0.2">
      <c r="A8" s="22" t="s">
        <v>550</v>
      </c>
      <c r="B8" s="22" t="s">
        <v>551</v>
      </c>
      <c r="C8" s="23" t="s">
        <v>555</v>
      </c>
      <c r="D8" s="24" t="s">
        <v>556</v>
      </c>
      <c r="E8" s="20">
        <v>2</v>
      </c>
      <c r="F8" s="21" t="s">
        <v>62</v>
      </c>
      <c r="G8" s="24" t="s">
        <v>557</v>
      </c>
      <c r="H8" s="24"/>
    </row>
    <row r="9" spans="1:8" ht="30" customHeight="1" x14ac:dyDescent="0.2">
      <c r="A9" s="17" t="s">
        <v>550</v>
      </c>
      <c r="B9" s="17" t="s">
        <v>551</v>
      </c>
      <c r="C9" s="18" t="s">
        <v>558</v>
      </c>
      <c r="D9" s="19" t="s">
        <v>559</v>
      </c>
      <c r="E9" s="20">
        <v>2</v>
      </c>
      <c r="F9" s="21" t="s">
        <v>62</v>
      </c>
      <c r="G9" s="19" t="s">
        <v>560</v>
      </c>
      <c r="H9" s="19"/>
    </row>
    <row r="10" spans="1:8" ht="30" customHeight="1" x14ac:dyDescent="0.2">
      <c r="A10" s="22" t="s">
        <v>550</v>
      </c>
      <c r="B10" s="22" t="s">
        <v>551</v>
      </c>
      <c r="C10" s="23" t="s">
        <v>561</v>
      </c>
      <c r="D10" s="24" t="s">
        <v>562</v>
      </c>
      <c r="E10" s="20">
        <v>2</v>
      </c>
      <c r="F10" s="21" t="s">
        <v>49</v>
      </c>
      <c r="G10" s="24"/>
      <c r="H10" s="24"/>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563</v>
      </c>
      <c r="B2" s="16" t="s">
        <v>564</v>
      </c>
      <c r="C2" s="16"/>
      <c r="D2" s="16"/>
      <c r="E2" s="16"/>
      <c r="F2" s="16"/>
      <c r="G2" s="16"/>
      <c r="H2" s="16"/>
    </row>
    <row r="3" spans="1:8" ht="30" customHeight="1" x14ac:dyDescent="0.2">
      <c r="A3" s="17" t="s">
        <v>563</v>
      </c>
      <c r="B3" s="17" t="s">
        <v>564</v>
      </c>
      <c r="C3" s="18" t="s">
        <v>565</v>
      </c>
      <c r="D3" s="19" t="s">
        <v>566</v>
      </c>
      <c r="E3" s="20">
        <v>2</v>
      </c>
      <c r="F3" s="21" t="s">
        <v>49</v>
      </c>
      <c r="G3" s="19"/>
      <c r="H3" s="19"/>
    </row>
    <row r="4" spans="1:8" ht="30" customHeight="1" x14ac:dyDescent="0.2">
      <c r="A4" s="22" t="s">
        <v>563</v>
      </c>
      <c r="B4" s="22" t="s">
        <v>564</v>
      </c>
      <c r="C4" s="23" t="s">
        <v>567</v>
      </c>
      <c r="D4" s="24" t="s">
        <v>568</v>
      </c>
      <c r="E4" s="20">
        <v>2</v>
      </c>
      <c r="F4" s="21" t="s">
        <v>49</v>
      </c>
      <c r="G4" s="24"/>
      <c r="H4" s="24"/>
    </row>
    <row r="5" spans="1:8" ht="18" customHeight="1" x14ac:dyDescent="0.2">
      <c r="A5" s="16" t="s">
        <v>569</v>
      </c>
      <c r="B5" s="16" t="s">
        <v>570</v>
      </c>
      <c r="C5" s="16"/>
      <c r="D5" s="16"/>
      <c r="E5" s="16"/>
      <c r="F5" s="16"/>
      <c r="G5" s="16"/>
      <c r="H5" s="16"/>
    </row>
    <row r="6" spans="1:8" ht="30" customHeight="1" x14ac:dyDescent="0.2">
      <c r="A6" s="17" t="s">
        <v>569</v>
      </c>
      <c r="B6" s="17" t="s">
        <v>570</v>
      </c>
      <c r="C6" s="18" t="s">
        <v>571</v>
      </c>
      <c r="D6" s="19" t="s">
        <v>572</v>
      </c>
      <c r="E6" s="20">
        <v>2</v>
      </c>
      <c r="F6" s="21" t="s">
        <v>49</v>
      </c>
      <c r="G6" s="19"/>
      <c r="H6" s="19"/>
    </row>
    <row r="7" spans="1:8" ht="30" customHeight="1" x14ac:dyDescent="0.2">
      <c r="A7" s="22" t="s">
        <v>569</v>
      </c>
      <c r="B7" s="22" t="s">
        <v>570</v>
      </c>
      <c r="C7" s="23" t="s">
        <v>573</v>
      </c>
      <c r="D7" s="24" t="s">
        <v>574</v>
      </c>
      <c r="E7" s="20">
        <v>2</v>
      </c>
      <c r="F7" s="21" t="s">
        <v>49</v>
      </c>
      <c r="G7" s="24"/>
      <c r="H7" s="24"/>
    </row>
    <row r="8" spans="1:8" ht="30" customHeight="1" x14ac:dyDescent="0.2">
      <c r="A8" s="17" t="s">
        <v>569</v>
      </c>
      <c r="B8" s="17" t="s">
        <v>570</v>
      </c>
      <c r="C8" s="18" t="s">
        <v>575</v>
      </c>
      <c r="D8" s="19" t="s">
        <v>576</v>
      </c>
      <c r="E8" s="26">
        <v>3</v>
      </c>
      <c r="F8" s="21" t="s">
        <v>49</v>
      </c>
      <c r="G8" s="19"/>
      <c r="H8" s="19"/>
    </row>
    <row r="9" spans="1:8" ht="18" customHeight="1" x14ac:dyDescent="0.2">
      <c r="A9" s="16" t="s">
        <v>577</v>
      </c>
      <c r="B9" s="16" t="s">
        <v>578</v>
      </c>
      <c r="C9" s="16"/>
      <c r="D9" s="16"/>
      <c r="E9" s="16"/>
      <c r="F9" s="16"/>
      <c r="G9" s="16"/>
      <c r="H9" s="16"/>
    </row>
    <row r="10" spans="1:8" ht="30" customHeight="1" x14ac:dyDescent="0.2">
      <c r="A10" s="17" t="s">
        <v>577</v>
      </c>
      <c r="B10" s="17" t="s">
        <v>578</v>
      </c>
      <c r="C10" s="18" t="s">
        <v>579</v>
      </c>
      <c r="D10" s="19" t="s">
        <v>580</v>
      </c>
      <c r="E10" s="20">
        <v>2</v>
      </c>
      <c r="F10" s="21" t="s">
        <v>49</v>
      </c>
      <c r="G10" s="19"/>
      <c r="H10" s="19"/>
    </row>
    <row r="11" spans="1:8" ht="30" customHeight="1" x14ac:dyDescent="0.2">
      <c r="A11" s="22" t="s">
        <v>577</v>
      </c>
      <c r="B11" s="22" t="s">
        <v>578</v>
      </c>
      <c r="C11" s="23" t="s">
        <v>581</v>
      </c>
      <c r="D11" s="24" t="s">
        <v>582</v>
      </c>
      <c r="E11" s="20">
        <v>2</v>
      </c>
      <c r="F11" s="21" t="s">
        <v>49</v>
      </c>
      <c r="G11" s="24"/>
      <c r="H11" s="24"/>
    </row>
    <row r="12" spans="1:8" ht="30" customHeight="1" x14ac:dyDescent="0.2">
      <c r="A12" s="17" t="s">
        <v>577</v>
      </c>
      <c r="B12" s="17" t="s">
        <v>578</v>
      </c>
      <c r="C12" s="18" t="s">
        <v>583</v>
      </c>
      <c r="D12" s="19" t="s">
        <v>584</v>
      </c>
      <c r="E12" s="20">
        <v>2</v>
      </c>
      <c r="F12" s="21" t="s">
        <v>49</v>
      </c>
      <c r="G12" s="19"/>
      <c r="H12" s="19"/>
    </row>
    <row r="13" spans="1:8" ht="30" customHeight="1" x14ac:dyDescent="0.2">
      <c r="A13" s="22" t="s">
        <v>577</v>
      </c>
      <c r="B13" s="22" t="s">
        <v>578</v>
      </c>
      <c r="C13" s="23" t="s">
        <v>585</v>
      </c>
      <c r="D13" s="24" t="s">
        <v>586</v>
      </c>
      <c r="E13" s="20">
        <v>2</v>
      </c>
      <c r="F13" s="21" t="s">
        <v>49</v>
      </c>
      <c r="G13" s="24"/>
      <c r="H13" s="24"/>
    </row>
    <row r="14" spans="1:8" ht="30" customHeight="1" x14ac:dyDescent="0.2">
      <c r="A14" s="17" t="s">
        <v>577</v>
      </c>
      <c r="B14" s="17" t="s">
        <v>578</v>
      </c>
      <c r="C14" s="18" t="s">
        <v>587</v>
      </c>
      <c r="D14" s="19" t="s">
        <v>588</v>
      </c>
      <c r="E14" s="26">
        <v>3</v>
      </c>
      <c r="F14" s="21" t="s">
        <v>49</v>
      </c>
      <c r="G14" s="19"/>
      <c r="H14" s="19"/>
    </row>
    <row r="15" spans="1:8" ht="18" customHeight="1" x14ac:dyDescent="0.2">
      <c r="A15" s="16" t="s">
        <v>589</v>
      </c>
      <c r="B15" s="16" t="s">
        <v>590</v>
      </c>
      <c r="C15" s="16"/>
      <c r="D15" s="16"/>
      <c r="E15" s="16"/>
      <c r="F15" s="16"/>
      <c r="G15" s="16"/>
      <c r="H15" s="16"/>
    </row>
    <row r="16" spans="1:8" ht="30" customHeight="1" x14ac:dyDescent="0.2">
      <c r="A16" s="17" t="s">
        <v>589</v>
      </c>
      <c r="B16" s="17" t="s">
        <v>590</v>
      </c>
      <c r="C16" s="18" t="s">
        <v>591</v>
      </c>
      <c r="D16" s="19" t="s">
        <v>592</v>
      </c>
      <c r="E16" s="25">
        <v>1</v>
      </c>
      <c r="F16" s="21" t="s">
        <v>49</v>
      </c>
      <c r="G16" s="19"/>
      <c r="H16" s="19"/>
    </row>
    <row r="17" spans="1:8" ht="30" customHeight="1" x14ac:dyDescent="0.2">
      <c r="A17" s="22" t="s">
        <v>589</v>
      </c>
      <c r="B17" s="22" t="s">
        <v>590</v>
      </c>
      <c r="C17" s="23" t="s">
        <v>593</v>
      </c>
      <c r="D17" s="24" t="s">
        <v>594</v>
      </c>
      <c r="E17" s="25">
        <v>1</v>
      </c>
      <c r="F17" s="21" t="s">
        <v>49</v>
      </c>
      <c r="G17" s="24"/>
      <c r="H17" s="24"/>
    </row>
    <row r="18" spans="1:8" ht="30" customHeight="1" x14ac:dyDescent="0.2">
      <c r="A18" s="17" t="s">
        <v>589</v>
      </c>
      <c r="B18" s="17" t="s">
        <v>590</v>
      </c>
      <c r="C18" s="18" t="s">
        <v>595</v>
      </c>
      <c r="D18" s="19" t="s">
        <v>596</v>
      </c>
      <c r="E18" s="25">
        <v>1</v>
      </c>
      <c r="F18" s="21" t="s">
        <v>49</v>
      </c>
      <c r="G18" s="19"/>
      <c r="H18" s="19"/>
    </row>
    <row r="19" spans="1:8" ht="30" customHeight="1" x14ac:dyDescent="0.2">
      <c r="A19" s="22" t="s">
        <v>589</v>
      </c>
      <c r="B19" s="22" t="s">
        <v>590</v>
      </c>
      <c r="C19" s="23" t="s">
        <v>597</v>
      </c>
      <c r="D19" s="24" t="s">
        <v>598</v>
      </c>
      <c r="E19" s="25">
        <v>1</v>
      </c>
      <c r="F19" s="21" t="s">
        <v>49</v>
      </c>
      <c r="G19" s="24"/>
      <c r="H19" s="24"/>
    </row>
    <row r="20" spans="1:8" ht="30" customHeight="1" x14ac:dyDescent="0.2">
      <c r="A20" s="17" t="s">
        <v>589</v>
      </c>
      <c r="B20" s="17" t="s">
        <v>590</v>
      </c>
      <c r="C20" s="18" t="s">
        <v>599</v>
      </c>
      <c r="D20" s="19" t="s">
        <v>600</v>
      </c>
      <c r="E20" s="25">
        <v>1</v>
      </c>
      <c r="F20" s="21" t="s">
        <v>49</v>
      </c>
      <c r="G20" s="19"/>
      <c r="H20" s="19"/>
    </row>
    <row r="21" spans="1:8" ht="30" customHeight="1" x14ac:dyDescent="0.2">
      <c r="A21" s="22" t="s">
        <v>589</v>
      </c>
      <c r="B21" s="22" t="s">
        <v>590</v>
      </c>
      <c r="C21" s="23" t="s">
        <v>601</v>
      </c>
      <c r="D21" s="24" t="s">
        <v>602</v>
      </c>
      <c r="E21" s="20">
        <v>2</v>
      </c>
      <c r="F21" s="21" t="s">
        <v>49</v>
      </c>
      <c r="G21" s="24"/>
      <c r="H21" s="24"/>
    </row>
    <row r="22" spans="1:8" ht="30" customHeight="1" x14ac:dyDescent="0.2">
      <c r="A22" s="17" t="s">
        <v>589</v>
      </c>
      <c r="B22" s="17" t="s">
        <v>590</v>
      </c>
      <c r="C22" s="18" t="s">
        <v>603</v>
      </c>
      <c r="D22" s="19" t="s">
        <v>604</v>
      </c>
      <c r="E22" s="20">
        <v>2</v>
      </c>
      <c r="F22" s="21" t="s">
        <v>49</v>
      </c>
      <c r="G22" s="19"/>
      <c r="H22" s="19"/>
    </row>
    <row r="23" spans="1:8" ht="30" customHeight="1" x14ac:dyDescent="0.2">
      <c r="A23" s="22" t="s">
        <v>589</v>
      </c>
      <c r="B23" s="22" t="s">
        <v>590</v>
      </c>
      <c r="C23" s="23" t="s">
        <v>605</v>
      </c>
      <c r="D23" s="24" t="s">
        <v>606</v>
      </c>
      <c r="E23" s="20">
        <v>2</v>
      </c>
      <c r="F23" s="21" t="s">
        <v>49</v>
      </c>
      <c r="G23" s="24"/>
      <c r="H23" s="24"/>
    </row>
    <row r="24" spans="1:8" ht="30" customHeight="1" x14ac:dyDescent="0.2">
      <c r="A24" s="17" t="s">
        <v>589</v>
      </c>
      <c r="B24" s="17" t="s">
        <v>590</v>
      </c>
      <c r="C24" s="18" t="s">
        <v>607</v>
      </c>
      <c r="D24" s="19" t="s">
        <v>608</v>
      </c>
      <c r="E24" s="20">
        <v>2</v>
      </c>
      <c r="F24" s="21" t="s">
        <v>49</v>
      </c>
      <c r="G24" s="19"/>
      <c r="H24" s="19"/>
    </row>
    <row r="25" spans="1:8" ht="30" customHeight="1" x14ac:dyDescent="0.2">
      <c r="A25" s="22" t="s">
        <v>589</v>
      </c>
      <c r="B25" s="22" t="s">
        <v>590</v>
      </c>
      <c r="C25" s="23" t="s">
        <v>609</v>
      </c>
      <c r="D25" s="24" t="s">
        <v>610</v>
      </c>
      <c r="E25" s="20">
        <v>2</v>
      </c>
      <c r="F25" s="21" t="s">
        <v>49</v>
      </c>
      <c r="G25" s="24"/>
      <c r="H25" s="24"/>
    </row>
    <row r="26" spans="1:8" ht="30" customHeight="1" x14ac:dyDescent="0.2">
      <c r="A26" s="17" t="s">
        <v>589</v>
      </c>
      <c r="B26" s="17" t="s">
        <v>590</v>
      </c>
      <c r="C26" s="18" t="s">
        <v>611</v>
      </c>
      <c r="D26" s="19" t="s">
        <v>612</v>
      </c>
      <c r="E26" s="20">
        <v>2</v>
      </c>
      <c r="F26" s="21" t="s">
        <v>49</v>
      </c>
      <c r="G26" s="19"/>
      <c r="H26" s="19"/>
    </row>
    <row r="27" spans="1:8" ht="30" customHeight="1" x14ac:dyDescent="0.2">
      <c r="A27" s="22" t="s">
        <v>589</v>
      </c>
      <c r="B27" s="22" t="s">
        <v>590</v>
      </c>
      <c r="C27" s="23" t="s">
        <v>613</v>
      </c>
      <c r="D27" s="24" t="s">
        <v>614</v>
      </c>
      <c r="E27" s="26">
        <v>3</v>
      </c>
      <c r="F27" s="21" t="s">
        <v>49</v>
      </c>
      <c r="G27" s="24"/>
      <c r="H27" s="24"/>
    </row>
    <row r="28" spans="1:8" ht="30" customHeight="1" x14ac:dyDescent="0.2">
      <c r="A28" s="17" t="s">
        <v>589</v>
      </c>
      <c r="B28" s="17" t="s">
        <v>590</v>
      </c>
      <c r="C28" s="18" t="s">
        <v>615</v>
      </c>
      <c r="D28" s="19" t="s">
        <v>616</v>
      </c>
      <c r="E28" s="26">
        <v>3</v>
      </c>
      <c r="F28" s="21" t="s">
        <v>49</v>
      </c>
      <c r="G28" s="19"/>
      <c r="H28" s="19"/>
    </row>
    <row r="29" spans="1:8" ht="30" customHeight="1" x14ac:dyDescent="0.2">
      <c r="A29" s="22" t="s">
        <v>589</v>
      </c>
      <c r="B29" s="22" t="s">
        <v>590</v>
      </c>
      <c r="C29" s="23" t="s">
        <v>617</v>
      </c>
      <c r="D29" s="24" t="s">
        <v>618</v>
      </c>
      <c r="E29" s="26">
        <v>3</v>
      </c>
      <c r="F29" s="21" t="s">
        <v>49</v>
      </c>
      <c r="G29" s="24"/>
      <c r="H29" s="24"/>
    </row>
    <row r="30" spans="1:8" ht="30" customHeight="1" x14ac:dyDescent="0.2">
      <c r="A30" s="17" t="s">
        <v>589</v>
      </c>
      <c r="B30" s="17" t="s">
        <v>590</v>
      </c>
      <c r="C30" s="18" t="s">
        <v>619</v>
      </c>
      <c r="D30" s="19" t="s">
        <v>620</v>
      </c>
      <c r="E30" s="26">
        <v>3</v>
      </c>
      <c r="F30" s="21" t="s">
        <v>49</v>
      </c>
      <c r="G30" s="19"/>
      <c r="H30" s="19"/>
    </row>
    <row r="31" spans="1:8" ht="30" customHeight="1" x14ac:dyDescent="0.2">
      <c r="A31" s="22" t="s">
        <v>589</v>
      </c>
      <c r="B31" s="22" t="s">
        <v>590</v>
      </c>
      <c r="C31" s="23" t="s">
        <v>621</v>
      </c>
      <c r="D31" s="24" t="s">
        <v>622</v>
      </c>
      <c r="E31" s="26">
        <v>3</v>
      </c>
      <c r="F31" s="21" t="s">
        <v>49</v>
      </c>
      <c r="G31" s="24"/>
      <c r="H31" s="24"/>
    </row>
    <row r="32" spans="1:8" ht="18" customHeight="1" x14ac:dyDescent="0.2">
      <c r="A32" s="16" t="s">
        <v>623</v>
      </c>
      <c r="B32" s="16" t="s">
        <v>624</v>
      </c>
      <c r="C32" s="16"/>
      <c r="D32" s="16"/>
      <c r="E32" s="16"/>
      <c r="F32" s="16"/>
      <c r="G32" s="16"/>
      <c r="H32" s="16"/>
    </row>
    <row r="33" spans="1:8" ht="30" customHeight="1" x14ac:dyDescent="0.2">
      <c r="A33" s="17" t="s">
        <v>623</v>
      </c>
      <c r="B33" s="17" t="s">
        <v>624</v>
      </c>
      <c r="C33" s="18" t="s">
        <v>625</v>
      </c>
      <c r="D33" s="19" t="s">
        <v>626</v>
      </c>
      <c r="E33" s="20">
        <v>2</v>
      </c>
      <c r="F33" s="21" t="s">
        <v>49</v>
      </c>
      <c r="G33" s="19"/>
      <c r="H33" s="19"/>
    </row>
    <row r="34" spans="1:8" ht="30" customHeight="1" x14ac:dyDescent="0.2">
      <c r="A34" s="22" t="s">
        <v>623</v>
      </c>
      <c r="B34" s="22" t="s">
        <v>624</v>
      </c>
      <c r="C34" s="23" t="s">
        <v>627</v>
      </c>
      <c r="D34" s="24" t="s">
        <v>628</v>
      </c>
      <c r="E34" s="20">
        <v>2</v>
      </c>
      <c r="F34" s="21" t="s">
        <v>49</v>
      </c>
      <c r="G34" s="24"/>
      <c r="H34" s="24"/>
    </row>
    <row r="35" spans="1:8" ht="30" customHeight="1" x14ac:dyDescent="0.2">
      <c r="A35" s="17" t="s">
        <v>623</v>
      </c>
      <c r="B35" s="17" t="s">
        <v>624</v>
      </c>
      <c r="C35" s="18" t="s">
        <v>629</v>
      </c>
      <c r="D35" s="19" t="s">
        <v>630</v>
      </c>
      <c r="E35" s="20">
        <v>2</v>
      </c>
      <c r="F35" s="21" t="s">
        <v>49</v>
      </c>
      <c r="G35" s="19"/>
      <c r="H35" s="19"/>
    </row>
    <row r="36" spans="1:8" ht="30" customHeight="1" x14ac:dyDescent="0.2">
      <c r="A36" s="22" t="s">
        <v>623</v>
      </c>
      <c r="B36" s="22" t="s">
        <v>624</v>
      </c>
      <c r="C36" s="23" t="s">
        <v>631</v>
      </c>
      <c r="D36" s="24" t="s">
        <v>632</v>
      </c>
      <c r="E36" s="20">
        <v>2</v>
      </c>
      <c r="F36" s="21" t="s">
        <v>49</v>
      </c>
      <c r="G36" s="24"/>
      <c r="H36" s="24"/>
    </row>
    <row r="37" spans="1:8" ht="30" customHeight="1" x14ac:dyDescent="0.2">
      <c r="A37" s="17" t="s">
        <v>623</v>
      </c>
      <c r="B37" s="17" t="s">
        <v>624</v>
      </c>
      <c r="C37" s="18" t="s">
        <v>633</v>
      </c>
      <c r="D37" s="19" t="s">
        <v>634</v>
      </c>
      <c r="E37" s="20">
        <v>2</v>
      </c>
      <c r="F37" s="21" t="s">
        <v>49</v>
      </c>
      <c r="G37" s="19"/>
      <c r="H37" s="19"/>
    </row>
    <row r="38" spans="1:8" ht="18" customHeight="1" x14ac:dyDescent="0.2">
      <c r="A38" s="16" t="s">
        <v>635</v>
      </c>
      <c r="B38" s="16" t="s">
        <v>636</v>
      </c>
      <c r="C38" s="16"/>
      <c r="D38" s="16"/>
      <c r="E38" s="16"/>
      <c r="F38" s="16"/>
      <c r="G38" s="16"/>
      <c r="H38" s="16"/>
    </row>
    <row r="39" spans="1:8" ht="30" customHeight="1" x14ac:dyDescent="0.2">
      <c r="A39" s="17" t="s">
        <v>635</v>
      </c>
      <c r="B39" s="17" t="s">
        <v>636</v>
      </c>
      <c r="C39" s="18" t="s">
        <v>637</v>
      </c>
      <c r="D39" s="19" t="s">
        <v>638</v>
      </c>
      <c r="E39" s="20">
        <v>2</v>
      </c>
      <c r="F39" s="21" t="s">
        <v>49</v>
      </c>
      <c r="G39" s="19"/>
      <c r="H39" s="19"/>
    </row>
    <row r="40" spans="1:8" ht="30" customHeight="1" x14ac:dyDescent="0.2">
      <c r="A40" s="22" t="s">
        <v>635</v>
      </c>
      <c r="B40" s="22" t="s">
        <v>636</v>
      </c>
      <c r="C40" s="23" t="s">
        <v>639</v>
      </c>
      <c r="D40" s="24" t="s">
        <v>640</v>
      </c>
      <c r="E40" s="20">
        <v>2</v>
      </c>
      <c r="F40" s="21" t="s">
        <v>49</v>
      </c>
      <c r="G40" s="24"/>
      <c r="H40" s="24"/>
    </row>
    <row r="41" spans="1:8" ht="18" customHeight="1" x14ac:dyDescent="0.2">
      <c r="A41" s="16" t="s">
        <v>641</v>
      </c>
      <c r="B41" s="16" t="s">
        <v>642</v>
      </c>
      <c r="C41" s="16"/>
      <c r="D41" s="16"/>
      <c r="E41" s="16"/>
      <c r="F41" s="16"/>
      <c r="G41" s="16"/>
      <c r="H41" s="16"/>
    </row>
    <row r="42" spans="1:8" ht="30" customHeight="1" x14ac:dyDescent="0.2">
      <c r="A42" s="17" t="s">
        <v>641</v>
      </c>
      <c r="B42" s="17" t="s">
        <v>642</v>
      </c>
      <c r="C42" s="18" t="s">
        <v>643</v>
      </c>
      <c r="D42" s="19" t="s">
        <v>644</v>
      </c>
      <c r="E42" s="20">
        <v>2</v>
      </c>
      <c r="F42" s="21" t="s">
        <v>49</v>
      </c>
      <c r="G42" s="19"/>
      <c r="H42" s="19"/>
    </row>
    <row r="43" spans="1:8" ht="30" customHeight="1" x14ac:dyDescent="0.2">
      <c r="A43" s="22" t="s">
        <v>641</v>
      </c>
      <c r="B43" s="22" t="s">
        <v>642</v>
      </c>
      <c r="C43" s="23" t="s">
        <v>645</v>
      </c>
      <c r="D43" s="24" t="s">
        <v>646</v>
      </c>
      <c r="E43" s="20">
        <v>2</v>
      </c>
      <c r="F43" s="21" t="s">
        <v>49</v>
      </c>
      <c r="G43" s="24"/>
      <c r="H43" s="24"/>
    </row>
    <row r="44" spans="1:8" ht="30" customHeight="1" x14ac:dyDescent="0.2">
      <c r="A44" s="17" t="s">
        <v>641</v>
      </c>
      <c r="B44" s="17" t="s">
        <v>642</v>
      </c>
      <c r="C44" s="18" t="s">
        <v>647</v>
      </c>
      <c r="D44" s="19" t="s">
        <v>648</v>
      </c>
      <c r="E44" s="20">
        <v>2</v>
      </c>
      <c r="F44" s="21" t="s">
        <v>49</v>
      </c>
      <c r="G44" s="19"/>
      <c r="H44" s="19"/>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649</v>
      </c>
      <c r="B2" s="16" t="s">
        <v>650</v>
      </c>
      <c r="C2" s="16"/>
      <c r="D2" s="16"/>
      <c r="E2" s="16"/>
      <c r="F2" s="16"/>
      <c r="G2" s="16"/>
      <c r="H2" s="16"/>
    </row>
    <row r="3" spans="1:8" ht="30" customHeight="1" x14ac:dyDescent="0.2">
      <c r="A3" s="17" t="s">
        <v>649</v>
      </c>
      <c r="B3" s="17" t="s">
        <v>650</v>
      </c>
      <c r="C3" s="18" t="s">
        <v>651</v>
      </c>
      <c r="D3" s="19" t="s">
        <v>652</v>
      </c>
      <c r="E3" s="20">
        <v>2</v>
      </c>
      <c r="F3" s="21" t="s">
        <v>122</v>
      </c>
      <c r="G3" s="19" t="s">
        <v>653</v>
      </c>
      <c r="H3" s="19"/>
    </row>
    <row r="4" spans="1:8" ht="30" customHeight="1" x14ac:dyDescent="0.2">
      <c r="A4" s="22" t="s">
        <v>649</v>
      </c>
      <c r="B4" s="22" t="s">
        <v>650</v>
      </c>
      <c r="C4" s="23" t="s">
        <v>654</v>
      </c>
      <c r="D4" s="24" t="s">
        <v>655</v>
      </c>
      <c r="E4" s="20">
        <v>2</v>
      </c>
      <c r="F4" s="21" t="s">
        <v>122</v>
      </c>
      <c r="G4" s="24" t="s">
        <v>656</v>
      </c>
      <c r="H4" s="24"/>
    </row>
    <row r="5" spans="1:8" ht="30" customHeight="1" x14ac:dyDescent="0.2">
      <c r="A5" s="17" t="s">
        <v>649</v>
      </c>
      <c r="B5" s="17" t="s">
        <v>650</v>
      </c>
      <c r="C5" s="18" t="s">
        <v>657</v>
      </c>
      <c r="D5" s="19" t="s">
        <v>658</v>
      </c>
      <c r="E5" s="26">
        <v>3</v>
      </c>
      <c r="F5" s="21" t="s">
        <v>49</v>
      </c>
      <c r="G5" s="19"/>
      <c r="H5" s="19"/>
    </row>
    <row r="6" spans="1:8" ht="30" customHeight="1" x14ac:dyDescent="0.2">
      <c r="A6" s="22" t="s">
        <v>649</v>
      </c>
      <c r="B6" s="22" t="s">
        <v>650</v>
      </c>
      <c r="C6" s="23" t="s">
        <v>659</v>
      </c>
      <c r="D6" s="24" t="s">
        <v>660</v>
      </c>
      <c r="E6" s="26">
        <v>3</v>
      </c>
      <c r="F6" s="21" t="s">
        <v>49</v>
      </c>
      <c r="G6" s="24"/>
      <c r="H6" s="24"/>
    </row>
    <row r="7" spans="1:8" ht="18" customHeight="1" x14ac:dyDescent="0.2">
      <c r="A7" s="16" t="s">
        <v>661</v>
      </c>
      <c r="B7" s="16" t="s">
        <v>662</v>
      </c>
      <c r="C7" s="16"/>
      <c r="D7" s="16"/>
      <c r="E7" s="16"/>
      <c r="F7" s="16"/>
      <c r="G7" s="16"/>
      <c r="H7" s="16"/>
    </row>
    <row r="8" spans="1:8" ht="30" customHeight="1" x14ac:dyDescent="0.2">
      <c r="A8" s="17" t="s">
        <v>661</v>
      </c>
      <c r="B8" s="17" t="s">
        <v>662</v>
      </c>
      <c r="C8" s="18" t="s">
        <v>663</v>
      </c>
      <c r="D8" s="19" t="s">
        <v>664</v>
      </c>
      <c r="E8" s="20">
        <v>2</v>
      </c>
      <c r="F8" s="21" t="s">
        <v>62</v>
      </c>
      <c r="G8" s="19" t="s">
        <v>665</v>
      </c>
      <c r="H8" s="19"/>
    </row>
    <row r="9" spans="1:8" ht="30" customHeight="1" x14ac:dyDescent="0.2">
      <c r="A9" s="22" t="s">
        <v>661</v>
      </c>
      <c r="B9" s="22" t="s">
        <v>662</v>
      </c>
      <c r="C9" s="23" t="s">
        <v>666</v>
      </c>
      <c r="D9" s="24" t="s">
        <v>667</v>
      </c>
      <c r="E9" s="20">
        <v>2</v>
      </c>
      <c r="F9" s="21" t="s">
        <v>122</v>
      </c>
      <c r="G9" s="24" t="s">
        <v>668</v>
      </c>
      <c r="H9" s="24"/>
    </row>
    <row r="10" spans="1:8" ht="30" customHeight="1" x14ac:dyDescent="0.2">
      <c r="A10" s="17" t="s">
        <v>661</v>
      </c>
      <c r="B10" s="17" t="s">
        <v>662</v>
      </c>
      <c r="C10" s="18" t="s">
        <v>669</v>
      </c>
      <c r="D10" s="19" t="s">
        <v>670</v>
      </c>
      <c r="E10" s="20">
        <v>2</v>
      </c>
      <c r="F10" s="21" t="s">
        <v>62</v>
      </c>
      <c r="G10" s="19" t="s">
        <v>671</v>
      </c>
      <c r="H10" s="19"/>
    </row>
    <row r="11" spans="1:8" ht="30" customHeight="1" x14ac:dyDescent="0.2">
      <c r="A11" s="22" t="s">
        <v>661</v>
      </c>
      <c r="B11" s="22" t="s">
        <v>662</v>
      </c>
      <c r="C11" s="23" t="s">
        <v>672</v>
      </c>
      <c r="D11" s="24" t="s">
        <v>673</v>
      </c>
      <c r="E11" s="26">
        <v>3</v>
      </c>
      <c r="F11" s="21" t="s">
        <v>49</v>
      </c>
      <c r="G11" s="24"/>
      <c r="H11" s="24"/>
    </row>
    <row r="12" spans="1:8" ht="30" customHeight="1" x14ac:dyDescent="0.2">
      <c r="A12" s="17" t="s">
        <v>661</v>
      </c>
      <c r="B12" s="17" t="s">
        <v>662</v>
      </c>
      <c r="C12" s="18" t="s">
        <v>674</v>
      </c>
      <c r="D12" s="19" t="s">
        <v>675</v>
      </c>
      <c r="E12" s="26">
        <v>3</v>
      </c>
      <c r="F12" s="21" t="s">
        <v>49</v>
      </c>
      <c r="G12" s="19"/>
      <c r="H12" s="19"/>
    </row>
    <row r="13" spans="1:8" ht="18" customHeight="1" x14ac:dyDescent="0.2">
      <c r="A13" s="16" t="s">
        <v>676</v>
      </c>
      <c r="B13" s="16" t="s">
        <v>677</v>
      </c>
      <c r="C13" s="16"/>
      <c r="D13" s="16"/>
      <c r="E13" s="16"/>
      <c r="F13" s="16"/>
      <c r="G13" s="16"/>
      <c r="H13" s="16"/>
    </row>
    <row r="14" spans="1:8" ht="30" customHeight="1" x14ac:dyDescent="0.2">
      <c r="A14" s="17" t="s">
        <v>676</v>
      </c>
      <c r="B14" s="17" t="s">
        <v>677</v>
      </c>
      <c r="C14" s="18" t="s">
        <v>678</v>
      </c>
      <c r="D14" s="19" t="s">
        <v>679</v>
      </c>
      <c r="E14" s="25">
        <v>1</v>
      </c>
      <c r="F14" s="21" t="s">
        <v>62</v>
      </c>
      <c r="G14" s="19" t="s">
        <v>680</v>
      </c>
      <c r="H14" s="19"/>
    </row>
    <row r="15" spans="1:8" ht="30" customHeight="1" x14ac:dyDescent="0.2">
      <c r="A15" s="22" t="s">
        <v>676</v>
      </c>
      <c r="B15" s="22" t="s">
        <v>677</v>
      </c>
      <c r="C15" s="23" t="s">
        <v>681</v>
      </c>
      <c r="D15" s="24" t="s">
        <v>682</v>
      </c>
      <c r="E15" s="25">
        <v>1</v>
      </c>
      <c r="F15" s="21" t="s">
        <v>122</v>
      </c>
      <c r="G15" s="24" t="s">
        <v>683</v>
      </c>
      <c r="H15" s="24"/>
    </row>
    <row r="16" spans="1:8" ht="30" customHeight="1" x14ac:dyDescent="0.2">
      <c r="A16" s="17" t="s">
        <v>676</v>
      </c>
      <c r="B16" s="17" t="s">
        <v>677</v>
      </c>
      <c r="C16" s="18" t="s">
        <v>684</v>
      </c>
      <c r="D16" s="19" t="s">
        <v>685</v>
      </c>
      <c r="E16" s="20">
        <v>2</v>
      </c>
      <c r="F16" s="21" t="s">
        <v>122</v>
      </c>
      <c r="G16" s="19" t="s">
        <v>686</v>
      </c>
      <c r="H16" s="19"/>
    </row>
    <row r="17" spans="1:8" ht="30" customHeight="1" x14ac:dyDescent="0.2">
      <c r="A17" s="22" t="s">
        <v>676</v>
      </c>
      <c r="B17" s="22" t="s">
        <v>677</v>
      </c>
      <c r="C17" s="23" t="s">
        <v>687</v>
      </c>
      <c r="D17" s="24" t="s">
        <v>688</v>
      </c>
      <c r="E17" s="26">
        <v>3</v>
      </c>
      <c r="F17" s="21" t="s">
        <v>49</v>
      </c>
      <c r="G17" s="24"/>
      <c r="H17" s="24"/>
    </row>
    <row r="18" spans="1:8" ht="30" customHeight="1" x14ac:dyDescent="0.2">
      <c r="A18" s="17" t="s">
        <v>676</v>
      </c>
      <c r="B18" s="17" t="s">
        <v>677</v>
      </c>
      <c r="C18" s="18" t="s">
        <v>689</v>
      </c>
      <c r="D18" s="19" t="s">
        <v>690</v>
      </c>
      <c r="E18" s="26">
        <v>3</v>
      </c>
      <c r="F18" s="21" t="s">
        <v>49</v>
      </c>
      <c r="G18" s="19"/>
      <c r="H18" s="19"/>
    </row>
    <row r="19" spans="1:8" ht="18" customHeight="1" x14ac:dyDescent="0.2">
      <c r="A19" s="16" t="s">
        <v>691</v>
      </c>
      <c r="B19" s="16" t="s">
        <v>692</v>
      </c>
      <c r="C19" s="16"/>
      <c r="D19" s="16"/>
      <c r="E19" s="16"/>
      <c r="F19" s="16"/>
      <c r="G19" s="16"/>
      <c r="H19" s="16"/>
    </row>
    <row r="20" spans="1:8" ht="30" customHeight="1" x14ac:dyDescent="0.2">
      <c r="A20" s="17" t="s">
        <v>691</v>
      </c>
      <c r="B20" s="17" t="s">
        <v>692</v>
      </c>
      <c r="C20" s="18" t="s">
        <v>693</v>
      </c>
      <c r="D20" s="19" t="s">
        <v>694</v>
      </c>
      <c r="E20" s="25">
        <v>1</v>
      </c>
      <c r="F20" s="21" t="s">
        <v>62</v>
      </c>
      <c r="G20" s="19" t="s">
        <v>695</v>
      </c>
      <c r="H20" s="19"/>
    </row>
    <row r="21" spans="1:8" ht="30" customHeight="1" x14ac:dyDescent="0.2">
      <c r="A21" s="22" t="s">
        <v>691</v>
      </c>
      <c r="B21" s="22" t="s">
        <v>692</v>
      </c>
      <c r="C21" s="23" t="s">
        <v>696</v>
      </c>
      <c r="D21" s="24" t="s">
        <v>697</v>
      </c>
      <c r="E21" s="20">
        <v>2</v>
      </c>
      <c r="F21" s="21" t="s">
        <v>62</v>
      </c>
      <c r="G21" s="24" t="s">
        <v>698</v>
      </c>
      <c r="H21" s="24"/>
    </row>
    <row r="22" spans="1:8" ht="30" customHeight="1" x14ac:dyDescent="0.2">
      <c r="A22" s="17" t="s">
        <v>691</v>
      </c>
      <c r="B22" s="17" t="s">
        <v>692</v>
      </c>
      <c r="C22" s="18" t="s">
        <v>699</v>
      </c>
      <c r="D22" s="19" t="s">
        <v>700</v>
      </c>
      <c r="E22" s="20">
        <v>2</v>
      </c>
      <c r="F22" s="21" t="s">
        <v>49</v>
      </c>
      <c r="G22" s="19"/>
      <c r="H22" s="19"/>
    </row>
    <row r="23" spans="1:8" ht="30" customHeight="1" x14ac:dyDescent="0.2">
      <c r="A23" s="22" t="s">
        <v>691</v>
      </c>
      <c r="B23" s="22" t="s">
        <v>692</v>
      </c>
      <c r="C23" s="23" t="s">
        <v>701</v>
      </c>
      <c r="D23" s="24" t="s">
        <v>702</v>
      </c>
      <c r="E23" s="20">
        <v>2</v>
      </c>
      <c r="F23" s="21" t="s">
        <v>49</v>
      </c>
      <c r="G23" s="24"/>
      <c r="H23" s="24"/>
    </row>
    <row r="24" spans="1:8" ht="18" customHeight="1" x14ac:dyDescent="0.2">
      <c r="A24" s="16" t="s">
        <v>703</v>
      </c>
      <c r="B24" s="16" t="s">
        <v>704</v>
      </c>
      <c r="C24" s="16"/>
      <c r="D24" s="16"/>
      <c r="E24" s="16"/>
      <c r="F24" s="16"/>
      <c r="G24" s="16"/>
      <c r="H24" s="16"/>
    </row>
    <row r="25" spans="1:8" ht="30" customHeight="1" x14ac:dyDescent="0.2">
      <c r="A25" s="17" t="s">
        <v>703</v>
      </c>
      <c r="B25" s="17" t="s">
        <v>704</v>
      </c>
      <c r="C25" s="18" t="s">
        <v>705</v>
      </c>
      <c r="D25" s="19" t="s">
        <v>706</v>
      </c>
      <c r="E25" s="20">
        <v>2</v>
      </c>
      <c r="F25" s="21" t="s">
        <v>49</v>
      </c>
      <c r="G25" s="19"/>
      <c r="H25" s="19"/>
    </row>
    <row r="26" spans="1:8" ht="30" customHeight="1" x14ac:dyDescent="0.2">
      <c r="A26" s="22" t="s">
        <v>703</v>
      </c>
      <c r="B26" s="22" t="s">
        <v>704</v>
      </c>
      <c r="C26" s="23" t="s">
        <v>707</v>
      </c>
      <c r="D26" s="24" t="s">
        <v>708</v>
      </c>
      <c r="E26" s="26">
        <v>3</v>
      </c>
      <c r="F26" s="21" t="s">
        <v>49</v>
      </c>
      <c r="G26" s="24"/>
      <c r="H26" s="24"/>
    </row>
    <row r="27" spans="1:8" ht="18" customHeight="1" x14ac:dyDescent="0.2">
      <c r="A27" s="16" t="s">
        <v>709</v>
      </c>
      <c r="B27" s="16" t="s">
        <v>710</v>
      </c>
      <c r="C27" s="16"/>
      <c r="D27" s="16"/>
      <c r="E27" s="16"/>
      <c r="F27" s="16"/>
      <c r="G27" s="16"/>
      <c r="H27" s="16"/>
    </row>
    <row r="28" spans="1:8" ht="30" customHeight="1" x14ac:dyDescent="0.2">
      <c r="A28" s="17" t="s">
        <v>709</v>
      </c>
      <c r="B28" s="17" t="s">
        <v>710</v>
      </c>
      <c r="C28" s="18" t="s">
        <v>711</v>
      </c>
      <c r="D28" s="19" t="s">
        <v>712</v>
      </c>
      <c r="E28" s="20">
        <v>2</v>
      </c>
      <c r="F28" s="21" t="s">
        <v>49</v>
      </c>
      <c r="G28" s="19"/>
      <c r="H28" s="19"/>
    </row>
    <row r="29" spans="1:8" ht="30" customHeight="1" x14ac:dyDescent="0.2">
      <c r="A29" s="22" t="s">
        <v>709</v>
      </c>
      <c r="B29" s="22" t="s">
        <v>710</v>
      </c>
      <c r="C29" s="23" t="s">
        <v>713</v>
      </c>
      <c r="D29" s="24" t="s">
        <v>714</v>
      </c>
      <c r="E29" s="26">
        <v>3</v>
      </c>
      <c r="F29" s="21" t="s">
        <v>49</v>
      </c>
      <c r="G29" s="24"/>
      <c r="H29" s="24"/>
    </row>
    <row r="30" spans="1:8" ht="18" customHeight="1" x14ac:dyDescent="0.2">
      <c r="A30" s="16" t="s">
        <v>715</v>
      </c>
      <c r="B30" s="16" t="s">
        <v>716</v>
      </c>
      <c r="C30" s="16"/>
      <c r="D30" s="16"/>
      <c r="E30" s="16"/>
      <c r="F30" s="16"/>
      <c r="G30" s="16"/>
      <c r="H30" s="16"/>
    </row>
    <row r="31" spans="1:8" ht="30" customHeight="1" x14ac:dyDescent="0.2">
      <c r="A31" s="17" t="s">
        <v>715</v>
      </c>
      <c r="B31" s="17" t="s">
        <v>716</v>
      </c>
      <c r="C31" s="18" t="s">
        <v>717</v>
      </c>
      <c r="D31" s="19" t="s">
        <v>718</v>
      </c>
      <c r="E31" s="26">
        <v>3</v>
      </c>
      <c r="F31" s="21" t="s">
        <v>49</v>
      </c>
      <c r="G31" s="19"/>
      <c r="H31" s="19"/>
    </row>
    <row r="32" spans="1:8" ht="30" customHeight="1" x14ac:dyDescent="0.2">
      <c r="A32" s="22" t="s">
        <v>715</v>
      </c>
      <c r="B32" s="22" t="s">
        <v>716</v>
      </c>
      <c r="C32" s="23" t="s">
        <v>719</v>
      </c>
      <c r="D32" s="24" t="s">
        <v>720</v>
      </c>
      <c r="E32" s="26">
        <v>3</v>
      </c>
      <c r="F32" s="21" t="s">
        <v>49</v>
      </c>
      <c r="G32" s="24"/>
      <c r="H32" s="24"/>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721</v>
      </c>
      <c r="B2" s="16" t="s">
        <v>722</v>
      </c>
      <c r="C2" s="16"/>
      <c r="D2" s="16"/>
      <c r="E2" s="16"/>
      <c r="F2" s="16"/>
      <c r="G2" s="16"/>
      <c r="H2" s="16"/>
    </row>
    <row r="3" spans="1:8" ht="30" customHeight="1" x14ac:dyDescent="0.2">
      <c r="A3" s="17" t="s">
        <v>721</v>
      </c>
      <c r="B3" s="17" t="s">
        <v>722</v>
      </c>
      <c r="C3" s="18" t="s">
        <v>723</v>
      </c>
      <c r="D3" s="19" t="s">
        <v>724</v>
      </c>
      <c r="E3" s="25">
        <v>1</v>
      </c>
      <c r="F3" s="21" t="s">
        <v>285</v>
      </c>
      <c r="G3" s="19" t="s">
        <v>725</v>
      </c>
      <c r="H3" s="19"/>
    </row>
    <row r="4" spans="1:8" ht="30" customHeight="1" x14ac:dyDescent="0.2">
      <c r="A4" s="22" t="s">
        <v>721</v>
      </c>
      <c r="B4" s="22" t="s">
        <v>722</v>
      </c>
      <c r="C4" s="23" t="s">
        <v>726</v>
      </c>
      <c r="D4" s="24" t="s">
        <v>727</v>
      </c>
      <c r="E4" s="20">
        <v>2</v>
      </c>
      <c r="F4" s="21" t="s">
        <v>122</v>
      </c>
      <c r="G4" s="24" t="s">
        <v>728</v>
      </c>
      <c r="H4" s="24"/>
    </row>
    <row r="5" spans="1:8" ht="30" customHeight="1" x14ac:dyDescent="0.2">
      <c r="A5" s="17" t="s">
        <v>721</v>
      </c>
      <c r="B5" s="17" t="s">
        <v>722</v>
      </c>
      <c r="C5" s="18" t="s">
        <v>729</v>
      </c>
      <c r="D5" s="19" t="s">
        <v>730</v>
      </c>
      <c r="E5" s="20">
        <v>2</v>
      </c>
      <c r="F5" s="21" t="s">
        <v>49</v>
      </c>
      <c r="G5" s="19"/>
      <c r="H5" s="19"/>
    </row>
    <row r="6" spans="1:8" ht="30" customHeight="1" x14ac:dyDescent="0.2">
      <c r="A6" s="22" t="s">
        <v>721</v>
      </c>
      <c r="B6" s="22" t="s">
        <v>722</v>
      </c>
      <c r="C6" s="23" t="s">
        <v>731</v>
      </c>
      <c r="D6" s="24" t="s">
        <v>732</v>
      </c>
      <c r="E6" s="26">
        <v>3</v>
      </c>
      <c r="F6" s="21" t="s">
        <v>49</v>
      </c>
      <c r="G6" s="24"/>
      <c r="H6" s="24"/>
    </row>
    <row r="7" spans="1:8" ht="30" customHeight="1" x14ac:dyDescent="0.2">
      <c r="A7" s="17" t="s">
        <v>721</v>
      </c>
      <c r="B7" s="17" t="s">
        <v>722</v>
      </c>
      <c r="C7" s="18" t="s">
        <v>733</v>
      </c>
      <c r="D7" s="19" t="s">
        <v>734</v>
      </c>
      <c r="E7" s="26">
        <v>3</v>
      </c>
      <c r="F7" s="21" t="s">
        <v>49</v>
      </c>
      <c r="G7" s="19"/>
      <c r="H7" s="19"/>
    </row>
    <row r="8" spans="1:8" ht="18" customHeight="1" x14ac:dyDescent="0.2">
      <c r="A8" s="16" t="s">
        <v>735</v>
      </c>
      <c r="B8" s="16" t="s">
        <v>736</v>
      </c>
      <c r="C8" s="16"/>
      <c r="D8" s="16"/>
      <c r="E8" s="16"/>
      <c r="F8" s="16"/>
      <c r="G8" s="16"/>
      <c r="H8" s="16"/>
    </row>
    <row r="9" spans="1:8" ht="30" customHeight="1" x14ac:dyDescent="0.2">
      <c r="A9" s="17" t="s">
        <v>735</v>
      </c>
      <c r="B9" s="17" t="s">
        <v>736</v>
      </c>
      <c r="C9" s="18" t="s">
        <v>737</v>
      </c>
      <c r="D9" s="19" t="s">
        <v>738</v>
      </c>
      <c r="E9" s="25">
        <v>1</v>
      </c>
      <c r="F9" s="21" t="s">
        <v>49</v>
      </c>
      <c r="G9" s="19"/>
      <c r="H9" s="19"/>
    </row>
    <row r="10" spans="1:8" ht="30" customHeight="1" x14ac:dyDescent="0.2">
      <c r="A10" s="22" t="s">
        <v>735</v>
      </c>
      <c r="B10" s="22" t="s">
        <v>736</v>
      </c>
      <c r="C10" s="23" t="s">
        <v>739</v>
      </c>
      <c r="D10" s="24" t="s">
        <v>740</v>
      </c>
      <c r="E10" s="25">
        <v>1</v>
      </c>
      <c r="F10" s="21" t="s">
        <v>285</v>
      </c>
      <c r="G10" s="24" t="s">
        <v>741</v>
      </c>
      <c r="H10" s="24"/>
    </row>
    <row r="11" spans="1:8" ht="18" customHeight="1" x14ac:dyDescent="0.2">
      <c r="A11" s="16" t="s">
        <v>742</v>
      </c>
      <c r="B11" s="16" t="s">
        <v>743</v>
      </c>
      <c r="C11" s="16"/>
      <c r="D11" s="16"/>
      <c r="E11" s="16"/>
      <c r="F11" s="16"/>
      <c r="G11" s="16"/>
      <c r="H11" s="16"/>
    </row>
    <row r="12" spans="1:8" ht="30" customHeight="1" x14ac:dyDescent="0.2">
      <c r="A12" s="17" t="s">
        <v>742</v>
      </c>
      <c r="B12" s="17" t="s">
        <v>743</v>
      </c>
      <c r="C12" s="18" t="s">
        <v>744</v>
      </c>
      <c r="D12" s="19" t="s">
        <v>745</v>
      </c>
      <c r="E12" s="20">
        <v>2</v>
      </c>
      <c r="F12" s="21" t="s">
        <v>49</v>
      </c>
      <c r="G12" s="27"/>
      <c r="H12" s="19" t="s">
        <v>188</v>
      </c>
    </row>
    <row r="13" spans="1:8" ht="30" customHeight="1" x14ac:dyDescent="0.2">
      <c r="A13" s="22" t="s">
        <v>742</v>
      </c>
      <c r="B13" s="22" t="s">
        <v>743</v>
      </c>
      <c r="C13" s="23" t="s">
        <v>746</v>
      </c>
      <c r="D13" s="24" t="s">
        <v>747</v>
      </c>
      <c r="E13" s="20">
        <v>2</v>
      </c>
      <c r="F13" s="21" t="s">
        <v>49</v>
      </c>
      <c r="G13" s="28"/>
      <c r="H13" s="24" t="s">
        <v>188</v>
      </c>
    </row>
    <row r="14" spans="1:8" ht="30" customHeight="1" x14ac:dyDescent="0.2">
      <c r="A14" s="17" t="s">
        <v>742</v>
      </c>
      <c r="B14" s="17" t="s">
        <v>743</v>
      </c>
      <c r="C14" s="18" t="s">
        <v>748</v>
      </c>
      <c r="D14" s="19" t="s">
        <v>749</v>
      </c>
      <c r="E14" s="20">
        <v>2</v>
      </c>
      <c r="F14" s="21" t="s">
        <v>49</v>
      </c>
      <c r="G14" s="19"/>
      <c r="H14" s="19"/>
    </row>
    <row r="15" spans="1:8" ht="30" customHeight="1" x14ac:dyDescent="0.2">
      <c r="A15" s="22" t="s">
        <v>742</v>
      </c>
      <c r="B15" s="22" t="s">
        <v>743</v>
      </c>
      <c r="C15" s="23" t="s">
        <v>750</v>
      </c>
      <c r="D15" s="24" t="s">
        <v>751</v>
      </c>
      <c r="E15" s="20">
        <v>2</v>
      </c>
      <c r="F15" s="21" t="s">
        <v>49</v>
      </c>
      <c r="G15" s="24"/>
      <c r="H15" s="24"/>
    </row>
    <row r="16" spans="1:8" ht="30" customHeight="1" x14ac:dyDescent="0.2">
      <c r="A16" s="17" t="s">
        <v>742</v>
      </c>
      <c r="B16" s="17" t="s">
        <v>743</v>
      </c>
      <c r="C16" s="18" t="s">
        <v>752</v>
      </c>
      <c r="D16" s="19" t="s">
        <v>753</v>
      </c>
      <c r="E16" s="26">
        <v>3</v>
      </c>
      <c r="F16" s="21" t="s">
        <v>49</v>
      </c>
      <c r="G16" s="19"/>
      <c r="H16" s="19"/>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754</v>
      </c>
      <c r="B2" s="16" t="s">
        <v>755</v>
      </c>
      <c r="C2" s="16"/>
      <c r="D2" s="16"/>
      <c r="E2" s="16"/>
      <c r="F2" s="16"/>
      <c r="G2" s="16"/>
      <c r="H2" s="16"/>
    </row>
    <row r="3" spans="1:8" ht="30" customHeight="1" x14ac:dyDescent="0.2">
      <c r="A3" s="17" t="s">
        <v>754</v>
      </c>
      <c r="B3" s="17" t="s">
        <v>755</v>
      </c>
      <c r="C3" s="18" t="s">
        <v>756</v>
      </c>
      <c r="D3" s="19" t="s">
        <v>757</v>
      </c>
      <c r="E3" s="20">
        <v>2</v>
      </c>
      <c r="F3" s="21" t="s">
        <v>122</v>
      </c>
      <c r="G3" s="19" t="s">
        <v>758</v>
      </c>
      <c r="H3" s="19"/>
    </row>
    <row r="4" spans="1:8" ht="30" customHeight="1" x14ac:dyDescent="0.2">
      <c r="A4" s="22" t="s">
        <v>754</v>
      </c>
      <c r="B4" s="22" t="s">
        <v>755</v>
      </c>
      <c r="C4" s="23" t="s">
        <v>759</v>
      </c>
      <c r="D4" s="24" t="s">
        <v>760</v>
      </c>
      <c r="E4" s="26">
        <v>3</v>
      </c>
      <c r="F4" s="21" t="s">
        <v>49</v>
      </c>
      <c r="G4" s="24"/>
      <c r="H4" s="24"/>
    </row>
    <row r="5" spans="1:8" ht="30" customHeight="1" x14ac:dyDescent="0.2">
      <c r="A5" s="17" t="s">
        <v>754</v>
      </c>
      <c r="B5" s="17" t="s">
        <v>755</v>
      </c>
      <c r="C5" s="18" t="s">
        <v>761</v>
      </c>
      <c r="D5" s="19" t="s">
        <v>762</v>
      </c>
      <c r="E5" s="26">
        <v>3</v>
      </c>
      <c r="F5" s="21" t="s">
        <v>49</v>
      </c>
      <c r="G5" s="19"/>
      <c r="H5" s="19"/>
    </row>
    <row r="6" spans="1:8" ht="30" customHeight="1" x14ac:dyDescent="0.2">
      <c r="A6" s="22" t="s">
        <v>754</v>
      </c>
      <c r="B6" s="22" t="s">
        <v>755</v>
      </c>
      <c r="C6" s="23" t="s">
        <v>763</v>
      </c>
      <c r="D6" s="24" t="s">
        <v>764</v>
      </c>
      <c r="E6" s="26">
        <v>3</v>
      </c>
      <c r="F6" s="21" t="s">
        <v>49</v>
      </c>
      <c r="G6" s="24"/>
      <c r="H6" s="24"/>
    </row>
    <row r="7" spans="1:8" ht="18" customHeight="1" x14ac:dyDescent="0.2">
      <c r="A7" s="16" t="s">
        <v>765</v>
      </c>
      <c r="B7" s="16" t="s">
        <v>766</v>
      </c>
      <c r="C7" s="16"/>
      <c r="D7" s="16"/>
      <c r="E7" s="16"/>
      <c r="F7" s="16"/>
      <c r="G7" s="16"/>
      <c r="H7" s="16"/>
    </row>
    <row r="8" spans="1:8" ht="30" customHeight="1" x14ac:dyDescent="0.2">
      <c r="A8" s="17" t="s">
        <v>765</v>
      </c>
      <c r="B8" s="17" t="s">
        <v>766</v>
      </c>
      <c r="C8" s="18" t="s">
        <v>767</v>
      </c>
      <c r="D8" s="19" t="s">
        <v>768</v>
      </c>
      <c r="E8" s="20">
        <v>2</v>
      </c>
      <c r="F8" s="21" t="s">
        <v>49</v>
      </c>
      <c r="G8" s="19"/>
      <c r="H8" s="19"/>
    </row>
    <row r="9" spans="1:8" ht="30" customHeight="1" x14ac:dyDescent="0.2">
      <c r="A9" s="22" t="s">
        <v>765</v>
      </c>
      <c r="B9" s="22" t="s">
        <v>766</v>
      </c>
      <c r="C9" s="23" t="s">
        <v>769</v>
      </c>
      <c r="D9" s="24" t="s">
        <v>770</v>
      </c>
      <c r="E9" s="20">
        <v>2</v>
      </c>
      <c r="F9" s="21" t="s">
        <v>49</v>
      </c>
      <c r="G9" s="24"/>
      <c r="H9" s="24"/>
    </row>
    <row r="10" spans="1:8" ht="30" customHeight="1" x14ac:dyDescent="0.2">
      <c r="A10" s="17" t="s">
        <v>765</v>
      </c>
      <c r="B10" s="17" t="s">
        <v>766</v>
      </c>
      <c r="C10" s="18" t="s">
        <v>771</v>
      </c>
      <c r="D10" s="19" t="s">
        <v>772</v>
      </c>
      <c r="E10" s="20">
        <v>2</v>
      </c>
      <c r="F10" s="21" t="s">
        <v>122</v>
      </c>
      <c r="G10" s="19" t="s">
        <v>773</v>
      </c>
      <c r="H10" s="19"/>
    </row>
    <row r="11" spans="1:8" ht="30" customHeight="1" x14ac:dyDescent="0.2">
      <c r="A11" s="22" t="s">
        <v>765</v>
      </c>
      <c r="B11" s="22" t="s">
        <v>766</v>
      </c>
      <c r="C11" s="23" t="s">
        <v>774</v>
      </c>
      <c r="D11" s="24" t="s">
        <v>775</v>
      </c>
      <c r="E11" s="20">
        <v>2</v>
      </c>
      <c r="F11" s="21" t="s">
        <v>49</v>
      </c>
      <c r="G11" s="24"/>
      <c r="H11" s="24"/>
    </row>
    <row r="12" spans="1:8" ht="30" customHeight="1" x14ac:dyDescent="0.2">
      <c r="A12" s="17" t="s">
        <v>765</v>
      </c>
      <c r="B12" s="17" t="s">
        <v>766</v>
      </c>
      <c r="C12" s="18" t="s">
        <v>776</v>
      </c>
      <c r="D12" s="19" t="s">
        <v>777</v>
      </c>
      <c r="E12" s="20">
        <v>2</v>
      </c>
      <c r="F12" s="21" t="s">
        <v>49</v>
      </c>
      <c r="G12" s="19"/>
      <c r="H12" s="19"/>
    </row>
    <row r="13" spans="1:8" ht="30" customHeight="1" x14ac:dyDescent="0.2">
      <c r="A13" s="22" t="s">
        <v>765</v>
      </c>
      <c r="B13" s="22" t="s">
        <v>766</v>
      </c>
      <c r="C13" s="23" t="s">
        <v>778</v>
      </c>
      <c r="D13" s="24" t="s">
        <v>779</v>
      </c>
      <c r="E13" s="26">
        <v>3</v>
      </c>
      <c r="F13" s="21" t="s">
        <v>49</v>
      </c>
      <c r="G13" s="24"/>
      <c r="H13" s="24"/>
    </row>
    <row r="14" spans="1:8" ht="18" customHeight="1" x14ac:dyDescent="0.2">
      <c r="A14" s="16" t="s">
        <v>780</v>
      </c>
      <c r="B14" s="16" t="s">
        <v>781</v>
      </c>
      <c r="C14" s="16"/>
      <c r="D14" s="16"/>
      <c r="E14" s="16"/>
      <c r="F14" s="16"/>
      <c r="G14" s="16"/>
      <c r="H14" s="16"/>
    </row>
    <row r="15" spans="1:8" ht="30" customHeight="1" x14ac:dyDescent="0.2">
      <c r="A15" s="17" t="s">
        <v>780</v>
      </c>
      <c r="B15" s="17" t="s">
        <v>781</v>
      </c>
      <c r="C15" s="18" t="s">
        <v>782</v>
      </c>
      <c r="D15" s="19" t="s">
        <v>783</v>
      </c>
      <c r="E15" s="20">
        <v>2</v>
      </c>
      <c r="F15" s="21" t="s">
        <v>122</v>
      </c>
      <c r="G15" s="19" t="s">
        <v>784</v>
      </c>
      <c r="H15" s="19"/>
    </row>
    <row r="16" spans="1:8" ht="30" customHeight="1" x14ac:dyDescent="0.2">
      <c r="A16" s="22" t="s">
        <v>780</v>
      </c>
      <c r="B16" s="22" t="s">
        <v>781</v>
      </c>
      <c r="C16" s="23" t="s">
        <v>785</v>
      </c>
      <c r="D16" s="24" t="s">
        <v>786</v>
      </c>
      <c r="E16" s="20">
        <v>2</v>
      </c>
      <c r="F16" s="21" t="s">
        <v>122</v>
      </c>
      <c r="G16" s="24" t="s">
        <v>787</v>
      </c>
      <c r="H16" s="24"/>
    </row>
    <row r="17" spans="1:8" ht="30" customHeight="1" x14ac:dyDescent="0.2">
      <c r="A17" s="17" t="s">
        <v>780</v>
      </c>
      <c r="B17" s="17" t="s">
        <v>781</v>
      </c>
      <c r="C17" s="18" t="s">
        <v>788</v>
      </c>
      <c r="D17" s="19" t="s">
        <v>789</v>
      </c>
      <c r="E17" s="26">
        <v>3</v>
      </c>
      <c r="F17" s="21" t="s">
        <v>49</v>
      </c>
      <c r="G17" s="19"/>
      <c r="H17" s="19"/>
    </row>
    <row r="18" spans="1:8" ht="30" customHeight="1" x14ac:dyDescent="0.2">
      <c r="A18" s="22" t="s">
        <v>780</v>
      </c>
      <c r="B18" s="22" t="s">
        <v>781</v>
      </c>
      <c r="C18" s="23" t="s">
        <v>790</v>
      </c>
      <c r="D18" s="24" t="s">
        <v>791</v>
      </c>
      <c r="E18" s="26">
        <v>3</v>
      </c>
      <c r="F18" s="21" t="s">
        <v>49</v>
      </c>
      <c r="G18" s="24"/>
      <c r="H18" s="24"/>
    </row>
    <row r="19" spans="1:8" ht="18" customHeight="1" x14ac:dyDescent="0.2">
      <c r="A19" s="16" t="s">
        <v>792</v>
      </c>
      <c r="B19" s="16" t="s">
        <v>793</v>
      </c>
      <c r="C19" s="16"/>
      <c r="D19" s="16"/>
      <c r="E19" s="16"/>
      <c r="F19" s="16"/>
      <c r="G19" s="16"/>
      <c r="H19" s="16"/>
    </row>
    <row r="20" spans="1:8" ht="30" customHeight="1" x14ac:dyDescent="0.2">
      <c r="A20" s="17" t="s">
        <v>792</v>
      </c>
      <c r="B20" s="17" t="s">
        <v>793</v>
      </c>
      <c r="C20" s="18" t="s">
        <v>794</v>
      </c>
      <c r="D20" s="19" t="s">
        <v>795</v>
      </c>
      <c r="E20" s="25">
        <v>1</v>
      </c>
      <c r="F20" s="21" t="s">
        <v>122</v>
      </c>
      <c r="G20" s="19" t="s">
        <v>796</v>
      </c>
      <c r="H20" s="19"/>
    </row>
    <row r="21" spans="1:8" ht="30" customHeight="1" x14ac:dyDescent="0.2">
      <c r="A21" s="22" t="s">
        <v>792</v>
      </c>
      <c r="B21" s="22" t="s">
        <v>793</v>
      </c>
      <c r="C21" s="23" t="s">
        <v>797</v>
      </c>
      <c r="D21" s="24" t="s">
        <v>798</v>
      </c>
      <c r="E21" s="20">
        <v>2</v>
      </c>
      <c r="F21" s="21" t="s">
        <v>62</v>
      </c>
      <c r="G21" s="24" t="s">
        <v>799</v>
      </c>
      <c r="H21" s="24"/>
    </row>
    <row r="22" spans="1:8" ht="30" customHeight="1" x14ac:dyDescent="0.2">
      <c r="A22" s="17" t="s">
        <v>792</v>
      </c>
      <c r="B22" s="17" t="s">
        <v>793</v>
      </c>
      <c r="C22" s="18" t="s">
        <v>800</v>
      </c>
      <c r="D22" s="19" t="s">
        <v>801</v>
      </c>
      <c r="E22" s="20">
        <v>2</v>
      </c>
      <c r="F22" s="21" t="s">
        <v>49</v>
      </c>
      <c r="G22" s="19"/>
      <c r="H22" s="19"/>
    </row>
    <row r="23" spans="1:8" ht="30" customHeight="1" x14ac:dyDescent="0.2">
      <c r="A23" s="22" t="s">
        <v>792</v>
      </c>
      <c r="B23" s="22" t="s">
        <v>793</v>
      </c>
      <c r="C23" s="23" t="s">
        <v>802</v>
      </c>
      <c r="D23" s="24" t="s">
        <v>803</v>
      </c>
      <c r="E23" s="20">
        <v>2</v>
      </c>
      <c r="F23" s="21" t="s">
        <v>49</v>
      </c>
      <c r="G23" s="24"/>
      <c r="H23" s="24"/>
    </row>
    <row r="24" spans="1:8" ht="30" customHeight="1" x14ac:dyDescent="0.2">
      <c r="A24" s="17" t="s">
        <v>792</v>
      </c>
      <c r="B24" s="17" t="s">
        <v>793</v>
      </c>
      <c r="C24" s="18" t="s">
        <v>804</v>
      </c>
      <c r="D24" s="19" t="s">
        <v>805</v>
      </c>
      <c r="E24" s="20">
        <v>2</v>
      </c>
      <c r="F24" s="21" t="s">
        <v>49</v>
      </c>
      <c r="G24" s="19"/>
      <c r="H24" s="19"/>
    </row>
    <row r="25" spans="1:8" ht="30" customHeight="1" x14ac:dyDescent="0.2">
      <c r="A25" s="22" t="s">
        <v>792</v>
      </c>
      <c r="B25" s="22" t="s">
        <v>793</v>
      </c>
      <c r="C25" s="23" t="s">
        <v>806</v>
      </c>
      <c r="D25" s="24" t="s">
        <v>807</v>
      </c>
      <c r="E25" s="26">
        <v>3</v>
      </c>
      <c r="F25" s="21" t="s">
        <v>49</v>
      </c>
      <c r="G25" s="24"/>
      <c r="H25" s="24"/>
    </row>
    <row r="26" spans="1:8" ht="30" customHeight="1" x14ac:dyDescent="0.2">
      <c r="A26" s="17" t="s">
        <v>792</v>
      </c>
      <c r="B26" s="17" t="s">
        <v>793</v>
      </c>
      <c r="C26" s="18" t="s">
        <v>808</v>
      </c>
      <c r="D26" s="19" t="s">
        <v>809</v>
      </c>
      <c r="E26" s="26">
        <v>3</v>
      </c>
      <c r="F26" s="21" t="s">
        <v>49</v>
      </c>
      <c r="G26" s="19"/>
      <c r="H26" s="19"/>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810</v>
      </c>
      <c r="B2" s="16" t="s">
        <v>811</v>
      </c>
      <c r="C2" s="16"/>
      <c r="D2" s="16"/>
      <c r="E2" s="16"/>
      <c r="F2" s="16"/>
      <c r="G2" s="16"/>
      <c r="H2" s="16"/>
    </row>
    <row r="3" spans="1:8" ht="30" customHeight="1" x14ac:dyDescent="0.2">
      <c r="A3" s="17" t="s">
        <v>810</v>
      </c>
      <c r="B3" s="17" t="s">
        <v>811</v>
      </c>
      <c r="C3" s="18" t="s">
        <v>812</v>
      </c>
      <c r="D3" s="19" t="s">
        <v>813</v>
      </c>
      <c r="E3" s="20">
        <v>2</v>
      </c>
      <c r="F3" s="21" t="s">
        <v>122</v>
      </c>
      <c r="G3" s="19" t="s">
        <v>814</v>
      </c>
      <c r="H3" s="19"/>
    </row>
    <row r="4" spans="1:8" ht="30" customHeight="1" x14ac:dyDescent="0.2">
      <c r="A4" s="22" t="s">
        <v>810</v>
      </c>
      <c r="B4" s="22" t="s">
        <v>811</v>
      </c>
      <c r="C4" s="23" t="s">
        <v>815</v>
      </c>
      <c r="D4" s="24" t="s">
        <v>816</v>
      </c>
      <c r="E4" s="20">
        <v>2</v>
      </c>
      <c r="F4" s="21" t="s">
        <v>122</v>
      </c>
      <c r="G4" s="24" t="s">
        <v>817</v>
      </c>
      <c r="H4" s="24"/>
    </row>
    <row r="5" spans="1:8" ht="18" customHeight="1" x14ac:dyDescent="0.2">
      <c r="A5" s="16" t="s">
        <v>818</v>
      </c>
      <c r="B5" s="16" t="s">
        <v>819</v>
      </c>
      <c r="C5" s="16"/>
      <c r="D5" s="16"/>
      <c r="E5" s="16"/>
      <c r="F5" s="16"/>
      <c r="G5" s="16"/>
      <c r="H5" s="16"/>
    </row>
    <row r="6" spans="1:8" ht="30" customHeight="1" x14ac:dyDescent="0.2">
      <c r="A6" s="17" t="s">
        <v>818</v>
      </c>
      <c r="B6" s="17" t="s">
        <v>819</v>
      </c>
      <c r="C6" s="18" t="s">
        <v>820</v>
      </c>
      <c r="D6" s="19" t="s">
        <v>821</v>
      </c>
      <c r="E6" s="25">
        <v>1</v>
      </c>
      <c r="F6" s="21" t="s">
        <v>122</v>
      </c>
      <c r="G6" s="19" t="s">
        <v>822</v>
      </c>
      <c r="H6" s="19"/>
    </row>
    <row r="7" spans="1:8" ht="30" customHeight="1" x14ac:dyDescent="0.2">
      <c r="A7" s="22" t="s">
        <v>818</v>
      </c>
      <c r="B7" s="22" t="s">
        <v>819</v>
      </c>
      <c r="C7" s="23" t="s">
        <v>823</v>
      </c>
      <c r="D7" s="24" t="s">
        <v>824</v>
      </c>
      <c r="E7" s="20">
        <v>2</v>
      </c>
      <c r="F7" s="21" t="s">
        <v>49</v>
      </c>
      <c r="G7" s="24"/>
      <c r="H7" s="24"/>
    </row>
    <row r="8" spans="1:8" ht="30" customHeight="1" x14ac:dyDescent="0.2">
      <c r="A8" s="17" t="s">
        <v>818</v>
      </c>
      <c r="B8" s="17" t="s">
        <v>819</v>
      </c>
      <c r="C8" s="18" t="s">
        <v>825</v>
      </c>
      <c r="D8" s="19" t="s">
        <v>826</v>
      </c>
      <c r="E8" s="20">
        <v>2</v>
      </c>
      <c r="F8" s="21" t="s">
        <v>49</v>
      </c>
      <c r="G8" s="19"/>
      <c r="H8" s="19"/>
    </row>
    <row r="9" spans="1:8" ht="30" customHeight="1" x14ac:dyDescent="0.2">
      <c r="A9" s="22" t="s">
        <v>818</v>
      </c>
      <c r="B9" s="22" t="s">
        <v>819</v>
      </c>
      <c r="C9" s="23" t="s">
        <v>827</v>
      </c>
      <c r="D9" s="24" t="s">
        <v>828</v>
      </c>
      <c r="E9" s="20">
        <v>2</v>
      </c>
      <c r="F9" s="21" t="s">
        <v>122</v>
      </c>
      <c r="G9" s="24" t="s">
        <v>829</v>
      </c>
      <c r="H9" s="24"/>
    </row>
    <row r="10" spans="1:8" ht="30" customHeight="1" x14ac:dyDescent="0.2">
      <c r="A10" s="17" t="s">
        <v>818</v>
      </c>
      <c r="B10" s="17" t="s">
        <v>819</v>
      </c>
      <c r="C10" s="18" t="s">
        <v>830</v>
      </c>
      <c r="D10" s="19" t="s">
        <v>831</v>
      </c>
      <c r="E10" s="26">
        <v>3</v>
      </c>
      <c r="F10" s="21" t="s">
        <v>49</v>
      </c>
      <c r="G10" s="19"/>
      <c r="H10" s="19"/>
    </row>
    <row r="11" spans="1:8" ht="30" customHeight="1" x14ac:dyDescent="0.2">
      <c r="A11" s="22" t="s">
        <v>818</v>
      </c>
      <c r="B11" s="22" t="s">
        <v>819</v>
      </c>
      <c r="C11" s="23" t="s">
        <v>832</v>
      </c>
      <c r="D11" s="24" t="s">
        <v>833</v>
      </c>
      <c r="E11" s="26">
        <v>3</v>
      </c>
      <c r="F11" s="21" t="s">
        <v>49</v>
      </c>
      <c r="G11" s="24"/>
      <c r="H11" s="24"/>
    </row>
    <row r="12" spans="1:8" ht="30" customHeight="1" x14ac:dyDescent="0.2">
      <c r="A12" s="17" t="s">
        <v>818</v>
      </c>
      <c r="B12" s="17" t="s">
        <v>819</v>
      </c>
      <c r="C12" s="18" t="s">
        <v>834</v>
      </c>
      <c r="D12" s="19" t="s">
        <v>835</v>
      </c>
      <c r="E12" s="26">
        <v>3</v>
      </c>
      <c r="F12" s="21" t="s">
        <v>122</v>
      </c>
      <c r="G12" s="19" t="s">
        <v>836</v>
      </c>
      <c r="H12" s="19"/>
    </row>
    <row r="13" spans="1:8" ht="30" customHeight="1" x14ac:dyDescent="0.2">
      <c r="A13" s="22" t="s">
        <v>818</v>
      </c>
      <c r="B13" s="22" t="s">
        <v>819</v>
      </c>
      <c r="C13" s="23" t="s">
        <v>837</v>
      </c>
      <c r="D13" s="24" t="s">
        <v>838</v>
      </c>
      <c r="E13" s="26">
        <v>3</v>
      </c>
      <c r="F13" s="21" t="s">
        <v>122</v>
      </c>
      <c r="G13" s="24" t="s">
        <v>839</v>
      </c>
      <c r="H13" s="24"/>
    </row>
    <row r="14" spans="1:8" ht="18" customHeight="1" x14ac:dyDescent="0.2">
      <c r="A14" s="16" t="s">
        <v>840</v>
      </c>
      <c r="B14" s="16" t="s">
        <v>841</v>
      </c>
      <c r="C14" s="16"/>
      <c r="D14" s="16"/>
      <c r="E14" s="16"/>
      <c r="F14" s="16"/>
      <c r="G14" s="16"/>
      <c r="H14" s="16"/>
    </row>
    <row r="15" spans="1:8" ht="30" customHeight="1" x14ac:dyDescent="0.2">
      <c r="A15" s="17" t="s">
        <v>840</v>
      </c>
      <c r="B15" s="17" t="s">
        <v>841</v>
      </c>
      <c r="C15" s="18" t="s">
        <v>842</v>
      </c>
      <c r="D15" s="19" t="s">
        <v>843</v>
      </c>
      <c r="E15" s="25">
        <v>1</v>
      </c>
      <c r="F15" s="21" t="s">
        <v>49</v>
      </c>
      <c r="G15" s="19"/>
      <c r="H15" s="19"/>
    </row>
    <row r="16" spans="1:8" ht="30" customHeight="1" x14ac:dyDescent="0.2">
      <c r="A16" s="22" t="s">
        <v>840</v>
      </c>
      <c r="B16" s="22" t="s">
        <v>841</v>
      </c>
      <c r="C16" s="23" t="s">
        <v>844</v>
      </c>
      <c r="D16" s="24" t="s">
        <v>845</v>
      </c>
      <c r="E16" s="20">
        <v>2</v>
      </c>
      <c r="F16" s="21" t="s">
        <v>49</v>
      </c>
      <c r="G16" s="24"/>
      <c r="H16" s="24"/>
    </row>
    <row r="17" spans="1:8" ht="30" customHeight="1" x14ac:dyDescent="0.2">
      <c r="A17" s="17" t="s">
        <v>840</v>
      </c>
      <c r="B17" s="17" t="s">
        <v>841</v>
      </c>
      <c r="C17" s="18" t="s">
        <v>846</v>
      </c>
      <c r="D17" s="19" t="s">
        <v>847</v>
      </c>
      <c r="E17" s="20">
        <v>2</v>
      </c>
      <c r="F17" s="21" t="s">
        <v>49</v>
      </c>
      <c r="G17" s="19"/>
      <c r="H17" s="19"/>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848</v>
      </c>
      <c r="B2" s="16" t="s">
        <v>849</v>
      </c>
      <c r="C2" s="16"/>
      <c r="D2" s="16"/>
      <c r="E2" s="16"/>
      <c r="F2" s="16"/>
      <c r="G2" s="16"/>
      <c r="H2" s="16"/>
    </row>
    <row r="3" spans="1:8" ht="30" customHeight="1" x14ac:dyDescent="0.2">
      <c r="A3" s="17" t="s">
        <v>848</v>
      </c>
      <c r="B3" s="17" t="s">
        <v>849</v>
      </c>
      <c r="C3" s="18" t="s">
        <v>850</v>
      </c>
      <c r="D3" s="19" t="s">
        <v>851</v>
      </c>
      <c r="E3" s="25">
        <v>1</v>
      </c>
      <c r="F3" s="21" t="s">
        <v>122</v>
      </c>
      <c r="G3" s="19" t="s">
        <v>852</v>
      </c>
      <c r="H3" s="19"/>
    </row>
    <row r="4" spans="1:8" ht="30" customHeight="1" x14ac:dyDescent="0.2">
      <c r="A4" s="22" t="s">
        <v>848</v>
      </c>
      <c r="B4" s="22" t="s">
        <v>849</v>
      </c>
      <c r="C4" s="23" t="s">
        <v>853</v>
      </c>
      <c r="D4" s="24" t="s">
        <v>854</v>
      </c>
      <c r="E4" s="20">
        <v>2</v>
      </c>
      <c r="F4" s="21" t="s">
        <v>122</v>
      </c>
      <c r="G4" s="24" t="s">
        <v>855</v>
      </c>
      <c r="H4" s="24"/>
    </row>
    <row r="5" spans="1:8" ht="30" customHeight="1" x14ac:dyDescent="0.2">
      <c r="A5" s="17" t="s">
        <v>848</v>
      </c>
      <c r="B5" s="17" t="s">
        <v>849</v>
      </c>
      <c r="C5" s="18" t="s">
        <v>856</v>
      </c>
      <c r="D5" s="19" t="s">
        <v>857</v>
      </c>
      <c r="E5" s="20">
        <v>2</v>
      </c>
      <c r="F5" s="21" t="s">
        <v>49</v>
      </c>
      <c r="G5" s="19"/>
      <c r="H5" s="19"/>
    </row>
    <row r="6" spans="1:8" ht="30" customHeight="1" x14ac:dyDescent="0.2">
      <c r="A6" s="22" t="s">
        <v>848</v>
      </c>
      <c r="B6" s="22" t="s">
        <v>849</v>
      </c>
      <c r="C6" s="23" t="s">
        <v>858</v>
      </c>
      <c r="D6" s="24" t="s">
        <v>859</v>
      </c>
      <c r="E6" s="26">
        <v>3</v>
      </c>
      <c r="F6" s="21" t="s">
        <v>49</v>
      </c>
      <c r="G6" s="24"/>
      <c r="H6" s="24"/>
    </row>
    <row r="7" spans="1:8" ht="30" customHeight="1" x14ac:dyDescent="0.2">
      <c r="A7" s="17" t="s">
        <v>848</v>
      </c>
      <c r="B7" s="17" t="s">
        <v>849</v>
      </c>
      <c r="C7" s="18" t="s">
        <v>860</v>
      </c>
      <c r="D7" s="19" t="s">
        <v>861</v>
      </c>
      <c r="E7" s="26">
        <v>3</v>
      </c>
      <c r="F7" s="21" t="s">
        <v>49</v>
      </c>
      <c r="G7" s="19"/>
      <c r="H7" s="19"/>
    </row>
    <row r="8" spans="1:8" ht="18" customHeight="1" x14ac:dyDescent="0.2">
      <c r="A8" s="16" t="s">
        <v>862</v>
      </c>
      <c r="B8" s="16" t="s">
        <v>863</v>
      </c>
      <c r="C8" s="16"/>
      <c r="D8" s="16"/>
      <c r="E8" s="16"/>
      <c r="F8" s="16"/>
      <c r="G8" s="16"/>
      <c r="H8" s="16"/>
    </row>
    <row r="9" spans="1:8" ht="30" customHeight="1" x14ac:dyDescent="0.2">
      <c r="A9" s="17" t="s">
        <v>862</v>
      </c>
      <c r="B9" s="17" t="s">
        <v>863</v>
      </c>
      <c r="C9" s="18" t="s">
        <v>864</v>
      </c>
      <c r="D9" s="19" t="s">
        <v>865</v>
      </c>
      <c r="E9" s="25">
        <v>1</v>
      </c>
      <c r="F9" s="21" t="s">
        <v>122</v>
      </c>
      <c r="G9" s="19" t="s">
        <v>866</v>
      </c>
      <c r="H9" s="19"/>
    </row>
    <row r="10" spans="1:8" ht="30" customHeight="1" x14ac:dyDescent="0.2">
      <c r="A10" s="22" t="s">
        <v>862</v>
      </c>
      <c r="B10" s="22" t="s">
        <v>863</v>
      </c>
      <c r="C10" s="23" t="s">
        <v>867</v>
      </c>
      <c r="D10" s="24" t="s">
        <v>868</v>
      </c>
      <c r="E10" s="20">
        <v>2</v>
      </c>
      <c r="F10" s="21" t="s">
        <v>49</v>
      </c>
      <c r="G10" s="24"/>
      <c r="H10" s="24"/>
    </row>
    <row r="11" spans="1:8" ht="30" customHeight="1" x14ac:dyDescent="0.2">
      <c r="A11" s="17" t="s">
        <v>862</v>
      </c>
      <c r="B11" s="17" t="s">
        <v>863</v>
      </c>
      <c r="C11" s="18" t="s">
        <v>869</v>
      </c>
      <c r="D11" s="19" t="s">
        <v>870</v>
      </c>
      <c r="E11" s="20">
        <v>2</v>
      </c>
      <c r="F11" s="21" t="s">
        <v>62</v>
      </c>
      <c r="G11" s="19" t="s">
        <v>871</v>
      </c>
      <c r="H11" s="19"/>
    </row>
    <row r="12" spans="1:8" ht="30" customHeight="1" x14ac:dyDescent="0.2">
      <c r="A12" s="22" t="s">
        <v>862</v>
      </c>
      <c r="B12" s="22" t="s">
        <v>863</v>
      </c>
      <c r="C12" s="23" t="s">
        <v>872</v>
      </c>
      <c r="D12" s="24" t="s">
        <v>873</v>
      </c>
      <c r="E12" s="26">
        <v>3</v>
      </c>
      <c r="F12" s="21" t="s">
        <v>49</v>
      </c>
      <c r="G12" s="24"/>
      <c r="H12" s="24"/>
    </row>
    <row r="13" spans="1:8" ht="30" customHeight="1" x14ac:dyDescent="0.2">
      <c r="A13" s="17" t="s">
        <v>862</v>
      </c>
      <c r="B13" s="17" t="s">
        <v>863</v>
      </c>
      <c r="C13" s="18" t="s">
        <v>874</v>
      </c>
      <c r="D13" s="19" t="s">
        <v>875</v>
      </c>
      <c r="E13" s="26">
        <v>3</v>
      </c>
      <c r="F13" s="21" t="s">
        <v>49</v>
      </c>
      <c r="G13" s="19"/>
      <c r="H13" s="19"/>
    </row>
    <row r="14" spans="1:8" ht="18" customHeight="1" x14ac:dyDescent="0.2">
      <c r="A14" s="16" t="s">
        <v>876</v>
      </c>
      <c r="B14" s="16" t="s">
        <v>877</v>
      </c>
      <c r="C14" s="16"/>
      <c r="D14" s="16"/>
      <c r="E14" s="16"/>
      <c r="F14" s="16"/>
      <c r="G14" s="16"/>
      <c r="H14" s="16"/>
    </row>
    <row r="15" spans="1:8" ht="30" customHeight="1" x14ac:dyDescent="0.2">
      <c r="A15" s="17" t="s">
        <v>876</v>
      </c>
      <c r="B15" s="17" t="s">
        <v>877</v>
      </c>
      <c r="C15" s="18" t="s">
        <v>878</v>
      </c>
      <c r="D15" s="19" t="s">
        <v>879</v>
      </c>
      <c r="E15" s="25">
        <v>1</v>
      </c>
      <c r="F15" s="21" t="s">
        <v>62</v>
      </c>
      <c r="G15" s="19" t="s">
        <v>880</v>
      </c>
      <c r="H15" s="19"/>
    </row>
    <row r="16" spans="1:8" ht="30" customHeight="1" x14ac:dyDescent="0.2">
      <c r="A16" s="22" t="s">
        <v>876</v>
      </c>
      <c r="B16" s="22" t="s">
        <v>877</v>
      </c>
      <c r="C16" s="23" t="s">
        <v>881</v>
      </c>
      <c r="D16" s="24" t="s">
        <v>882</v>
      </c>
      <c r="E16" s="20">
        <v>2</v>
      </c>
      <c r="F16" s="21" t="s">
        <v>49</v>
      </c>
      <c r="G16" s="24"/>
      <c r="H16" s="24"/>
    </row>
    <row r="17" spans="1:8" ht="30" customHeight="1" x14ac:dyDescent="0.2">
      <c r="A17" s="17" t="s">
        <v>876</v>
      </c>
      <c r="B17" s="17" t="s">
        <v>877</v>
      </c>
      <c r="C17" s="18" t="s">
        <v>883</v>
      </c>
      <c r="D17" s="19" t="s">
        <v>884</v>
      </c>
      <c r="E17" s="20">
        <v>2</v>
      </c>
      <c r="F17" s="21" t="s">
        <v>62</v>
      </c>
      <c r="G17" s="19" t="s">
        <v>885</v>
      </c>
      <c r="H17" s="19"/>
    </row>
    <row r="18" spans="1:8" ht="30" customHeight="1" x14ac:dyDescent="0.2">
      <c r="A18" s="22" t="s">
        <v>876</v>
      </c>
      <c r="B18" s="22" t="s">
        <v>877</v>
      </c>
      <c r="C18" s="23" t="s">
        <v>886</v>
      </c>
      <c r="D18" s="24" t="s">
        <v>887</v>
      </c>
      <c r="E18" s="20">
        <v>2</v>
      </c>
      <c r="F18" s="21" t="s">
        <v>49</v>
      </c>
      <c r="G18" s="24"/>
      <c r="H18" s="24"/>
    </row>
    <row r="19" spans="1:8" ht="30" customHeight="1" x14ac:dyDescent="0.2">
      <c r="A19" s="17" t="s">
        <v>876</v>
      </c>
      <c r="B19" s="17" t="s">
        <v>877</v>
      </c>
      <c r="C19" s="18" t="s">
        <v>888</v>
      </c>
      <c r="D19" s="19" t="s">
        <v>889</v>
      </c>
      <c r="E19" s="20">
        <v>2</v>
      </c>
      <c r="F19" s="21" t="s">
        <v>62</v>
      </c>
      <c r="G19" s="19" t="s">
        <v>890</v>
      </c>
      <c r="H19" s="19"/>
    </row>
    <row r="20" spans="1:8" ht="30" customHeight="1" x14ac:dyDescent="0.2">
      <c r="A20" s="22" t="s">
        <v>876</v>
      </c>
      <c r="B20" s="22" t="s">
        <v>877</v>
      </c>
      <c r="C20" s="23" t="s">
        <v>891</v>
      </c>
      <c r="D20" s="24" t="s">
        <v>892</v>
      </c>
      <c r="E20" s="20">
        <v>2</v>
      </c>
      <c r="F20" s="21" t="s">
        <v>49</v>
      </c>
      <c r="G20" s="24"/>
      <c r="H20" s="24"/>
    </row>
    <row r="21" spans="1:8" ht="30" customHeight="1" x14ac:dyDescent="0.2">
      <c r="A21" s="17" t="s">
        <v>876</v>
      </c>
      <c r="B21" s="17" t="s">
        <v>877</v>
      </c>
      <c r="C21" s="18" t="s">
        <v>893</v>
      </c>
      <c r="D21" s="19" t="s">
        <v>894</v>
      </c>
      <c r="E21" s="20">
        <v>2</v>
      </c>
      <c r="F21" s="21" t="s">
        <v>49</v>
      </c>
      <c r="G21" s="19"/>
      <c r="H21" s="19"/>
    </row>
    <row r="22" spans="1:8" ht="18" customHeight="1" x14ac:dyDescent="0.2">
      <c r="A22" s="16" t="s">
        <v>895</v>
      </c>
      <c r="B22" s="16" t="s">
        <v>896</v>
      </c>
      <c r="C22" s="16"/>
      <c r="D22" s="16"/>
      <c r="E22" s="16"/>
      <c r="F22" s="16"/>
      <c r="G22" s="16"/>
      <c r="H22" s="16"/>
    </row>
    <row r="23" spans="1:8" ht="30" customHeight="1" x14ac:dyDescent="0.2">
      <c r="A23" s="17" t="s">
        <v>895</v>
      </c>
      <c r="B23" s="17" t="s">
        <v>896</v>
      </c>
      <c r="C23" s="18" t="s">
        <v>897</v>
      </c>
      <c r="D23" s="19" t="s">
        <v>898</v>
      </c>
      <c r="E23" s="26">
        <v>3</v>
      </c>
      <c r="F23" s="21" t="s">
        <v>49</v>
      </c>
      <c r="G23" s="19"/>
      <c r="H23" s="19"/>
    </row>
    <row r="24" spans="1:8" ht="30" customHeight="1" x14ac:dyDescent="0.2">
      <c r="A24" s="22" t="s">
        <v>895</v>
      </c>
      <c r="B24" s="22" t="s">
        <v>896</v>
      </c>
      <c r="C24" s="23" t="s">
        <v>899</v>
      </c>
      <c r="D24" s="24" t="s">
        <v>900</v>
      </c>
      <c r="E24" s="26">
        <v>3</v>
      </c>
      <c r="F24" s="21" t="s">
        <v>49</v>
      </c>
      <c r="G24" s="24"/>
      <c r="H24" s="24"/>
    </row>
    <row r="25" spans="1:8" ht="30" customHeight="1" x14ac:dyDescent="0.2">
      <c r="A25" s="17" t="s">
        <v>895</v>
      </c>
      <c r="B25" s="17" t="s">
        <v>896</v>
      </c>
      <c r="C25" s="18" t="s">
        <v>901</v>
      </c>
      <c r="D25" s="19" t="s">
        <v>902</v>
      </c>
      <c r="E25" s="26">
        <v>3</v>
      </c>
      <c r="F25" s="21" t="s">
        <v>49</v>
      </c>
      <c r="G25" s="19"/>
      <c r="H25" s="19"/>
    </row>
    <row r="26" spans="1:8" ht="30" customHeight="1" x14ac:dyDescent="0.2">
      <c r="A26" s="22" t="s">
        <v>895</v>
      </c>
      <c r="B26" s="22" t="s">
        <v>896</v>
      </c>
      <c r="C26" s="23" t="s">
        <v>903</v>
      </c>
      <c r="D26" s="24" t="s">
        <v>904</v>
      </c>
      <c r="E26" s="26">
        <v>3</v>
      </c>
      <c r="F26" s="21" t="s">
        <v>49</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905</v>
      </c>
      <c r="B2" s="16" t="s">
        <v>906</v>
      </c>
      <c r="C2" s="16"/>
      <c r="D2" s="16"/>
      <c r="E2" s="16"/>
      <c r="F2" s="16"/>
      <c r="G2" s="16"/>
      <c r="H2" s="16"/>
    </row>
    <row r="3" spans="1:8" ht="30" customHeight="1" x14ac:dyDescent="0.2">
      <c r="A3" s="17" t="s">
        <v>905</v>
      </c>
      <c r="B3" s="17" t="s">
        <v>906</v>
      </c>
      <c r="C3" s="18" t="s">
        <v>907</v>
      </c>
      <c r="D3" s="19" t="s">
        <v>908</v>
      </c>
      <c r="E3" s="20">
        <v>2</v>
      </c>
      <c r="F3" s="21" t="s">
        <v>122</v>
      </c>
      <c r="G3" s="19" t="s">
        <v>909</v>
      </c>
      <c r="H3" s="19"/>
    </row>
    <row r="4" spans="1:8" ht="18" customHeight="1" x14ac:dyDescent="0.2">
      <c r="A4" s="16" t="s">
        <v>910</v>
      </c>
      <c r="B4" s="16" t="s">
        <v>911</v>
      </c>
      <c r="C4" s="16"/>
      <c r="D4" s="16"/>
      <c r="E4" s="16"/>
      <c r="F4" s="16"/>
      <c r="G4" s="16"/>
      <c r="H4" s="16"/>
    </row>
    <row r="5" spans="1:8" ht="30" customHeight="1" x14ac:dyDescent="0.2">
      <c r="A5" s="17" t="s">
        <v>910</v>
      </c>
      <c r="B5" s="17" t="s">
        <v>911</v>
      </c>
      <c r="C5" s="18" t="s">
        <v>912</v>
      </c>
      <c r="D5" s="19" t="s">
        <v>913</v>
      </c>
      <c r="E5" s="20">
        <v>2</v>
      </c>
      <c r="F5" s="21" t="s">
        <v>122</v>
      </c>
      <c r="G5" s="19" t="s">
        <v>914</v>
      </c>
      <c r="H5" s="19"/>
    </row>
    <row r="6" spans="1:8" ht="30" customHeight="1" x14ac:dyDescent="0.2">
      <c r="A6" s="22" t="s">
        <v>910</v>
      </c>
      <c r="B6" s="22" t="s">
        <v>911</v>
      </c>
      <c r="C6" s="23" t="s">
        <v>915</v>
      </c>
      <c r="D6" s="24" t="s">
        <v>916</v>
      </c>
      <c r="E6" s="20">
        <v>2</v>
      </c>
      <c r="F6" s="21" t="s">
        <v>122</v>
      </c>
      <c r="G6" s="24" t="s">
        <v>917</v>
      </c>
      <c r="H6" s="24"/>
    </row>
    <row r="7" spans="1:8" ht="30" customHeight="1" x14ac:dyDescent="0.2">
      <c r="A7" s="17" t="s">
        <v>910</v>
      </c>
      <c r="B7" s="17" t="s">
        <v>911</v>
      </c>
      <c r="C7" s="18" t="s">
        <v>918</v>
      </c>
      <c r="D7" s="19" t="s">
        <v>919</v>
      </c>
      <c r="E7" s="20">
        <v>2</v>
      </c>
      <c r="F7" s="21" t="s">
        <v>122</v>
      </c>
      <c r="G7" s="19" t="s">
        <v>920</v>
      </c>
      <c r="H7" s="19"/>
    </row>
    <row r="8" spans="1:8" ht="30" customHeight="1" x14ac:dyDescent="0.2">
      <c r="A8" s="22" t="s">
        <v>910</v>
      </c>
      <c r="B8" s="22" t="s">
        <v>911</v>
      </c>
      <c r="C8" s="23" t="s">
        <v>921</v>
      </c>
      <c r="D8" s="24" t="s">
        <v>922</v>
      </c>
      <c r="E8" s="20">
        <v>2</v>
      </c>
      <c r="F8" s="21" t="s">
        <v>122</v>
      </c>
      <c r="G8" s="24" t="s">
        <v>923</v>
      </c>
      <c r="H8" s="24"/>
    </row>
    <row r="9" spans="1:8" ht="30" customHeight="1" x14ac:dyDescent="0.2">
      <c r="A9" s="17" t="s">
        <v>910</v>
      </c>
      <c r="B9" s="17" t="s">
        <v>911</v>
      </c>
      <c r="C9" s="18" t="s">
        <v>924</v>
      </c>
      <c r="D9" s="19" t="s">
        <v>925</v>
      </c>
      <c r="E9" s="20">
        <v>2</v>
      </c>
      <c r="F9" s="21" t="s">
        <v>122</v>
      </c>
      <c r="G9" s="19" t="s">
        <v>926</v>
      </c>
      <c r="H9" s="19"/>
    </row>
    <row r="10" spans="1:8" ht="18" customHeight="1" x14ac:dyDescent="0.2">
      <c r="A10" s="16" t="s">
        <v>927</v>
      </c>
      <c r="B10" s="16" t="s">
        <v>928</v>
      </c>
      <c r="C10" s="16"/>
      <c r="D10" s="16"/>
      <c r="E10" s="16"/>
      <c r="F10" s="16"/>
      <c r="G10" s="16"/>
      <c r="H10" s="16"/>
    </row>
    <row r="11" spans="1:8" ht="30" customHeight="1" x14ac:dyDescent="0.2">
      <c r="A11" s="17" t="s">
        <v>927</v>
      </c>
      <c r="B11" s="17" t="s">
        <v>928</v>
      </c>
      <c r="C11" s="18" t="s">
        <v>929</v>
      </c>
      <c r="D11" s="19" t="s">
        <v>930</v>
      </c>
      <c r="E11" s="20">
        <v>2</v>
      </c>
      <c r="F11" s="21" t="s">
        <v>122</v>
      </c>
      <c r="G11" s="19" t="s">
        <v>931</v>
      </c>
      <c r="H11" s="19"/>
    </row>
    <row r="12" spans="1:8" ht="30" customHeight="1" x14ac:dyDescent="0.2">
      <c r="A12" s="22" t="s">
        <v>927</v>
      </c>
      <c r="B12" s="22" t="s">
        <v>928</v>
      </c>
      <c r="C12" s="23" t="s">
        <v>932</v>
      </c>
      <c r="D12" s="24" t="s">
        <v>933</v>
      </c>
      <c r="E12" s="20">
        <v>2</v>
      </c>
      <c r="F12" s="21" t="s">
        <v>122</v>
      </c>
      <c r="G12" s="24" t="s">
        <v>934</v>
      </c>
      <c r="H12" s="24"/>
    </row>
    <row r="13" spans="1:8" ht="30" customHeight="1" x14ac:dyDescent="0.2">
      <c r="A13" s="17" t="s">
        <v>927</v>
      </c>
      <c r="B13" s="17" t="s">
        <v>928</v>
      </c>
      <c r="C13" s="18" t="s">
        <v>935</v>
      </c>
      <c r="D13" s="19" t="s">
        <v>936</v>
      </c>
      <c r="E13" s="20">
        <v>2</v>
      </c>
      <c r="F13" s="21" t="s">
        <v>122</v>
      </c>
      <c r="G13" s="19" t="s">
        <v>937</v>
      </c>
      <c r="H13" s="19"/>
    </row>
    <row r="14" spans="1:8" ht="30" customHeight="1" x14ac:dyDescent="0.2">
      <c r="A14" s="22" t="s">
        <v>927</v>
      </c>
      <c r="B14" s="22" t="s">
        <v>928</v>
      </c>
      <c r="C14" s="23" t="s">
        <v>938</v>
      </c>
      <c r="D14" s="24" t="s">
        <v>939</v>
      </c>
      <c r="E14" s="20">
        <v>2</v>
      </c>
      <c r="F14" s="21" t="s">
        <v>122</v>
      </c>
      <c r="G14" s="24" t="s">
        <v>940</v>
      </c>
      <c r="H14" s="24"/>
    </row>
    <row r="15" spans="1:8" ht="18" customHeight="1" x14ac:dyDescent="0.2">
      <c r="A15" s="16" t="s">
        <v>941</v>
      </c>
      <c r="B15" s="16" t="s">
        <v>942</v>
      </c>
      <c r="C15" s="16"/>
      <c r="D15" s="16"/>
      <c r="E15" s="16"/>
      <c r="F15" s="16"/>
      <c r="G15" s="16"/>
      <c r="H15" s="16"/>
    </row>
    <row r="16" spans="1:8" ht="30" customHeight="1" x14ac:dyDescent="0.2">
      <c r="A16" s="17" t="s">
        <v>941</v>
      </c>
      <c r="B16" s="17" t="s">
        <v>942</v>
      </c>
      <c r="C16" s="18" t="s">
        <v>943</v>
      </c>
      <c r="D16" s="19" t="s">
        <v>944</v>
      </c>
      <c r="E16" s="20">
        <v>2</v>
      </c>
      <c r="F16" s="21" t="s">
        <v>122</v>
      </c>
      <c r="G16" s="19" t="s">
        <v>945</v>
      </c>
      <c r="H16" s="19"/>
    </row>
    <row r="17" spans="1:8" ht="30" customHeight="1" x14ac:dyDescent="0.2">
      <c r="A17" s="22" t="s">
        <v>941</v>
      </c>
      <c r="B17" s="22" t="s">
        <v>942</v>
      </c>
      <c r="C17" s="23" t="s">
        <v>946</v>
      </c>
      <c r="D17" s="24" t="s">
        <v>947</v>
      </c>
      <c r="E17" s="20">
        <v>2</v>
      </c>
      <c r="F17" s="21" t="s">
        <v>122</v>
      </c>
      <c r="G17" s="24" t="s">
        <v>948</v>
      </c>
      <c r="H17" s="24"/>
    </row>
    <row r="18" spans="1:8" ht="30" customHeight="1" x14ac:dyDescent="0.2">
      <c r="A18" s="17" t="s">
        <v>941</v>
      </c>
      <c r="B18" s="17" t="s">
        <v>942</v>
      </c>
      <c r="C18" s="18" t="s">
        <v>949</v>
      </c>
      <c r="D18" s="19" t="s">
        <v>950</v>
      </c>
      <c r="E18" s="20">
        <v>2</v>
      </c>
      <c r="F18" s="21" t="s">
        <v>122</v>
      </c>
      <c r="G18" s="19" t="s">
        <v>951</v>
      </c>
      <c r="H18" s="19"/>
    </row>
    <row r="19" spans="1:8" ht="18" customHeight="1" x14ac:dyDescent="0.2">
      <c r="A19" s="16" t="s">
        <v>952</v>
      </c>
      <c r="B19" s="16" t="s">
        <v>953</v>
      </c>
      <c r="C19" s="16"/>
      <c r="D19" s="16"/>
      <c r="E19" s="16"/>
      <c r="F19" s="16"/>
      <c r="G19" s="16"/>
      <c r="H19" s="16"/>
    </row>
    <row r="20" spans="1:8" ht="30" customHeight="1" x14ac:dyDescent="0.2">
      <c r="A20" s="17" t="s">
        <v>952</v>
      </c>
      <c r="B20" s="17" t="s">
        <v>953</v>
      </c>
      <c r="C20" s="18" t="s">
        <v>954</v>
      </c>
      <c r="D20" s="19" t="s">
        <v>955</v>
      </c>
      <c r="E20" s="20">
        <v>2</v>
      </c>
      <c r="F20" s="21" t="s">
        <v>122</v>
      </c>
      <c r="G20" s="19" t="s">
        <v>956</v>
      </c>
      <c r="H20" s="19"/>
    </row>
    <row r="21" spans="1:8" ht="30" customHeight="1" x14ac:dyDescent="0.2">
      <c r="A21" s="22" t="s">
        <v>952</v>
      </c>
      <c r="B21" s="22" t="s">
        <v>953</v>
      </c>
      <c r="C21" s="23" t="s">
        <v>957</v>
      </c>
      <c r="D21" s="24" t="s">
        <v>958</v>
      </c>
      <c r="E21" s="20">
        <v>2</v>
      </c>
      <c r="F21" s="21" t="s">
        <v>122</v>
      </c>
      <c r="G21" s="24" t="s">
        <v>959</v>
      </c>
      <c r="H21" s="24"/>
    </row>
    <row r="22" spans="1:8" ht="30" customHeight="1" x14ac:dyDescent="0.2">
      <c r="A22" s="17" t="s">
        <v>952</v>
      </c>
      <c r="B22" s="17" t="s">
        <v>953</v>
      </c>
      <c r="C22" s="18" t="s">
        <v>960</v>
      </c>
      <c r="D22" s="19" t="s">
        <v>961</v>
      </c>
      <c r="E22" s="20">
        <v>2</v>
      </c>
      <c r="F22" s="21" t="s">
        <v>122</v>
      </c>
      <c r="G22" s="19" t="s">
        <v>962</v>
      </c>
      <c r="H22" s="19"/>
    </row>
    <row r="23" spans="1:8" ht="30" customHeight="1" x14ac:dyDescent="0.2">
      <c r="A23" s="22" t="s">
        <v>952</v>
      </c>
      <c r="B23" s="22" t="s">
        <v>953</v>
      </c>
      <c r="C23" s="23" t="s">
        <v>963</v>
      </c>
      <c r="D23" s="24" t="s">
        <v>964</v>
      </c>
      <c r="E23" s="26">
        <v>3</v>
      </c>
      <c r="F23" s="21" t="s">
        <v>49</v>
      </c>
      <c r="G23" s="24"/>
      <c r="H23" s="24"/>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37</v>
      </c>
      <c r="B1" s="15" t="s">
        <v>38</v>
      </c>
      <c r="C1" s="15" t="s">
        <v>39</v>
      </c>
      <c r="D1" s="15" t="s">
        <v>40</v>
      </c>
      <c r="E1" s="15" t="s">
        <v>41</v>
      </c>
      <c r="F1" s="15" t="s">
        <v>42</v>
      </c>
      <c r="G1" s="15" t="s">
        <v>43</v>
      </c>
      <c r="H1" s="15" t="s">
        <v>44</v>
      </c>
    </row>
    <row r="2" spans="1:8" ht="18" customHeight="1" x14ac:dyDescent="0.2">
      <c r="A2" s="16" t="s">
        <v>965</v>
      </c>
      <c r="B2" s="16" t="s">
        <v>966</v>
      </c>
      <c r="C2" s="16"/>
      <c r="D2" s="16"/>
      <c r="E2" s="16"/>
      <c r="F2" s="16"/>
      <c r="G2" s="16"/>
      <c r="H2" s="16"/>
    </row>
    <row r="3" spans="1:8" ht="30" customHeight="1" x14ac:dyDescent="0.2">
      <c r="A3" s="17" t="s">
        <v>965</v>
      </c>
      <c r="B3" s="17" t="s">
        <v>966</v>
      </c>
      <c r="C3" s="18" t="s">
        <v>967</v>
      </c>
      <c r="D3" s="19" t="s">
        <v>968</v>
      </c>
      <c r="E3" s="20">
        <v>2</v>
      </c>
      <c r="F3" s="21" t="s">
        <v>49</v>
      </c>
      <c r="G3" s="19"/>
      <c r="H3" s="19"/>
    </row>
    <row r="4" spans="1:8" ht="30" customHeight="1" x14ac:dyDescent="0.2">
      <c r="A4" s="22" t="s">
        <v>965</v>
      </c>
      <c r="B4" s="22" t="s">
        <v>966</v>
      </c>
      <c r="C4" s="23" t="s">
        <v>969</v>
      </c>
      <c r="D4" s="24" t="s">
        <v>970</v>
      </c>
      <c r="E4" s="26">
        <v>3</v>
      </c>
      <c r="F4" s="21" t="s">
        <v>49</v>
      </c>
      <c r="G4" s="24"/>
      <c r="H4" s="24"/>
    </row>
    <row r="5" spans="1:8" ht="18" customHeight="1" x14ac:dyDescent="0.2">
      <c r="A5" s="16" t="s">
        <v>971</v>
      </c>
      <c r="B5" s="16" t="s">
        <v>972</v>
      </c>
      <c r="C5" s="16"/>
      <c r="D5" s="16"/>
      <c r="E5" s="16"/>
      <c r="F5" s="16"/>
      <c r="G5" s="16"/>
      <c r="H5" s="16"/>
    </row>
    <row r="6" spans="1:8" ht="30" customHeight="1" x14ac:dyDescent="0.2">
      <c r="A6" s="17" t="s">
        <v>971</v>
      </c>
      <c r="B6" s="17" t="s">
        <v>972</v>
      </c>
      <c r="C6" s="18" t="s">
        <v>973</v>
      </c>
      <c r="D6" s="19" t="s">
        <v>974</v>
      </c>
      <c r="E6" s="20">
        <v>2</v>
      </c>
      <c r="F6" s="21" t="s">
        <v>49</v>
      </c>
      <c r="G6" s="19"/>
      <c r="H6" s="19"/>
    </row>
    <row r="7" spans="1:8" ht="30" customHeight="1" x14ac:dyDescent="0.2">
      <c r="A7" s="22" t="s">
        <v>971</v>
      </c>
      <c r="B7" s="22" t="s">
        <v>972</v>
      </c>
      <c r="C7" s="23" t="s">
        <v>975</v>
      </c>
      <c r="D7" s="24" t="s">
        <v>976</v>
      </c>
      <c r="E7" s="20">
        <v>2</v>
      </c>
      <c r="F7" s="21" t="s">
        <v>49</v>
      </c>
      <c r="G7" s="24"/>
      <c r="H7" s="24"/>
    </row>
    <row r="8" spans="1:8" ht="30" customHeight="1" x14ac:dyDescent="0.2">
      <c r="A8" s="17" t="s">
        <v>971</v>
      </c>
      <c r="B8" s="17" t="s">
        <v>972</v>
      </c>
      <c r="C8" s="18" t="s">
        <v>977</v>
      </c>
      <c r="D8" s="19" t="s">
        <v>978</v>
      </c>
      <c r="E8" s="20">
        <v>2</v>
      </c>
      <c r="F8" s="21" t="s">
        <v>49</v>
      </c>
      <c r="G8" s="19"/>
      <c r="H8" s="19"/>
    </row>
    <row r="9" spans="1:8" ht="30" customHeight="1" x14ac:dyDescent="0.2">
      <c r="A9" s="22" t="s">
        <v>971</v>
      </c>
      <c r="B9" s="22" t="s">
        <v>972</v>
      </c>
      <c r="C9" s="23" t="s">
        <v>979</v>
      </c>
      <c r="D9" s="24" t="s">
        <v>980</v>
      </c>
      <c r="E9" s="20">
        <v>2</v>
      </c>
      <c r="F9" s="21" t="s">
        <v>49</v>
      </c>
      <c r="G9" s="24"/>
      <c r="H9" s="24"/>
    </row>
    <row r="10" spans="1:8" ht="30" customHeight="1" x14ac:dyDescent="0.2">
      <c r="A10" s="17" t="s">
        <v>971</v>
      </c>
      <c r="B10" s="17" t="s">
        <v>972</v>
      </c>
      <c r="C10" s="18" t="s">
        <v>981</v>
      </c>
      <c r="D10" s="19" t="s">
        <v>982</v>
      </c>
      <c r="E10" s="26">
        <v>3</v>
      </c>
      <c r="F10" s="21" t="s">
        <v>49</v>
      </c>
      <c r="G10" s="19"/>
      <c r="H10" s="19"/>
    </row>
    <row r="11" spans="1:8" ht="30" customHeight="1" x14ac:dyDescent="0.2">
      <c r="A11" s="22" t="s">
        <v>971</v>
      </c>
      <c r="B11" s="22" t="s">
        <v>972</v>
      </c>
      <c r="C11" s="23" t="s">
        <v>983</v>
      </c>
      <c r="D11" s="24" t="s">
        <v>984</v>
      </c>
      <c r="E11" s="26">
        <v>3</v>
      </c>
      <c r="F11" s="21" t="s">
        <v>49</v>
      </c>
      <c r="G11" s="24"/>
      <c r="H11" s="24"/>
    </row>
    <row r="12" spans="1:8" ht="30" customHeight="1" x14ac:dyDescent="0.2">
      <c r="A12" s="17" t="s">
        <v>971</v>
      </c>
      <c r="B12" s="17" t="s">
        <v>972</v>
      </c>
      <c r="C12" s="18" t="s">
        <v>985</v>
      </c>
      <c r="D12" s="19" t="s">
        <v>986</v>
      </c>
      <c r="E12" s="26">
        <v>3</v>
      </c>
      <c r="F12" s="21" t="s">
        <v>49</v>
      </c>
      <c r="G12" s="19"/>
      <c r="H12" s="19"/>
    </row>
    <row r="13" spans="1:8" ht="30" customHeight="1" x14ac:dyDescent="0.2">
      <c r="A13" s="22" t="s">
        <v>971</v>
      </c>
      <c r="B13" s="22" t="s">
        <v>972</v>
      </c>
      <c r="C13" s="23" t="s">
        <v>987</v>
      </c>
      <c r="D13" s="24" t="s">
        <v>988</v>
      </c>
      <c r="E13" s="26">
        <v>3</v>
      </c>
      <c r="F13" s="21" t="s">
        <v>49</v>
      </c>
      <c r="G13" s="24"/>
      <c r="H13" s="24"/>
    </row>
    <row r="14" spans="1:8" ht="18" customHeight="1" x14ac:dyDescent="0.2">
      <c r="A14" s="16" t="s">
        <v>989</v>
      </c>
      <c r="B14" s="16" t="s">
        <v>990</v>
      </c>
      <c r="C14" s="16"/>
      <c r="D14" s="16"/>
      <c r="E14" s="16"/>
      <c r="F14" s="16"/>
      <c r="G14" s="16"/>
      <c r="H14" s="16"/>
    </row>
    <row r="15" spans="1:8" ht="30" customHeight="1" x14ac:dyDescent="0.2">
      <c r="A15" s="17" t="s">
        <v>989</v>
      </c>
      <c r="B15" s="17" t="s">
        <v>990</v>
      </c>
      <c r="C15" s="18" t="s">
        <v>991</v>
      </c>
      <c r="D15" s="19" t="s">
        <v>992</v>
      </c>
      <c r="E15" s="20">
        <v>2</v>
      </c>
      <c r="F15" s="21" t="s">
        <v>49</v>
      </c>
      <c r="G15" s="19"/>
      <c r="H15" s="19"/>
    </row>
    <row r="16" spans="1:8" ht="30" customHeight="1" x14ac:dyDescent="0.2">
      <c r="A16" s="22" t="s">
        <v>989</v>
      </c>
      <c r="B16" s="22" t="s">
        <v>990</v>
      </c>
      <c r="C16" s="23" t="s">
        <v>993</v>
      </c>
      <c r="D16" s="24" t="s">
        <v>994</v>
      </c>
      <c r="E16" s="20">
        <v>2</v>
      </c>
      <c r="F16" s="21" t="s">
        <v>49</v>
      </c>
      <c r="G16" s="24"/>
      <c r="H16" s="24"/>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6"/>
  <sheetViews>
    <sheetView zoomScaleNormal="100" workbookViewId="0"/>
  </sheetViews>
  <sheetFormatPr baseColWidth="10" defaultColWidth="8.6640625" defaultRowHeight="15" x14ac:dyDescent="0.2"/>
  <cols>
    <col min="1" max="1" width="40" customWidth="1"/>
    <col min="2" max="3" width="15" customWidth="1"/>
    <col min="4" max="4" width="12" customWidth="1"/>
    <col min="5" max="5" width="30" customWidth="1"/>
    <col min="6" max="6" width="50" customWidth="1"/>
  </cols>
  <sheetData>
    <row r="1" spans="1:6" ht="17.25" customHeight="1" x14ac:dyDescent="0.2">
      <c r="A1" s="35" t="s">
        <v>995</v>
      </c>
      <c r="B1" s="33"/>
      <c r="C1" s="33"/>
      <c r="D1" s="33"/>
      <c r="E1" s="33"/>
      <c r="F1" s="33"/>
    </row>
    <row r="3" spans="1:6" ht="15" customHeight="1" x14ac:dyDescent="0.2">
      <c r="A3" s="29" t="s">
        <v>996</v>
      </c>
      <c r="B3" s="29" t="s">
        <v>997</v>
      </c>
      <c r="C3" s="29" t="s">
        <v>998</v>
      </c>
      <c r="D3" s="29" t="s">
        <v>999</v>
      </c>
      <c r="E3" s="29" t="s">
        <v>1000</v>
      </c>
      <c r="F3" s="29" t="s">
        <v>1001</v>
      </c>
    </row>
    <row r="4" spans="1:6" ht="27.75" customHeight="1" x14ac:dyDescent="0.2">
      <c r="A4" s="30" t="s">
        <v>1002</v>
      </c>
      <c r="B4" s="30" t="s">
        <v>1003</v>
      </c>
      <c r="C4" s="30" t="s">
        <v>1004</v>
      </c>
      <c r="D4" s="30" t="s">
        <v>1005</v>
      </c>
      <c r="E4" s="30" t="s">
        <v>1006</v>
      </c>
      <c r="F4" s="31" t="s">
        <v>1007</v>
      </c>
    </row>
    <row r="5" spans="1:6" ht="27.75" customHeight="1" x14ac:dyDescent="0.2">
      <c r="A5" s="30" t="s">
        <v>1008</v>
      </c>
      <c r="B5" s="30" t="s">
        <v>1009</v>
      </c>
      <c r="C5" s="30" t="s">
        <v>1010</v>
      </c>
      <c r="D5" s="30" t="s">
        <v>1005</v>
      </c>
      <c r="E5" s="30" t="s">
        <v>1011</v>
      </c>
      <c r="F5" s="31" t="s">
        <v>1012</v>
      </c>
    </row>
    <row r="6" spans="1:6" ht="27.75" customHeight="1" x14ac:dyDescent="0.2">
      <c r="A6" s="30" t="s">
        <v>1002</v>
      </c>
      <c r="B6" s="30" t="s">
        <v>1003</v>
      </c>
      <c r="C6" s="30" t="s">
        <v>1010</v>
      </c>
      <c r="D6" s="30" t="s">
        <v>1013</v>
      </c>
      <c r="E6" s="30" t="s">
        <v>1006</v>
      </c>
      <c r="F6" s="31" t="s">
        <v>1007</v>
      </c>
    </row>
  </sheetData>
  <mergeCells count="1">
    <mergeCell ref="A1:F1"/>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fd8388db-315c-4168-a71f-e7dc3fcfef63}" enabled="1" method="Standard" siteId="{ac5dac37-e6c2-42bf-808c-e28ebdd54b3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lpstr>ZAP-ASVS 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Teixeira</cp:lastModifiedBy>
  <cp:revision>5</cp:revision>
  <dcterms:created xsi:type="dcterms:W3CDTF">2026-03-04T10:14:28Z</dcterms:created>
  <dcterms:modified xsi:type="dcterms:W3CDTF">2026-06-10T14:37:44Z</dcterms:modified>
  <dc:language>pt-PT</dc:language>
</cp:coreProperties>
</file>